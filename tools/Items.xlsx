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F:\FrontierSuite\apps\frontier_mining_tracker_cpp\tools\"/>
    </mc:Choice>
  </mc:AlternateContent>
  <xr:revisionPtr revIDLastSave="0" documentId="13_ncr:1_{5D62C2D6-BBC8-4B20-B965-400A05A82110}" xr6:coauthVersionLast="47" xr6:coauthVersionMax="47" xr10:uidLastSave="{00000000-0000-0000-0000-000000000000}"/>
  <bookViews>
    <workbookView xWindow="38280" yWindow="-105" windowWidth="29040" windowHeight="15720" xr2:uid="{00000000-000D-0000-FFFF-FFFF00000000}"/>
  </bookViews>
  <sheets>
    <sheet name="Price Tables" sheetId="1" r:id="rId1"/>
    <sheet name="Item Rule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522" i="1" l="1"/>
  <c r="F521" i="1"/>
  <c r="F520" i="1"/>
  <c r="F519" i="1"/>
  <c r="F518" i="1"/>
  <c r="F517" i="1"/>
  <c r="F516" i="1"/>
  <c r="F515" i="1"/>
  <c r="F514" i="1"/>
  <c r="F513" i="1"/>
  <c r="F512" i="1"/>
  <c r="F511" i="1"/>
  <c r="F510" i="1"/>
  <c r="F509" i="1"/>
  <c r="F508" i="1"/>
  <c r="F507" i="1"/>
  <c r="F506" i="1"/>
  <c r="F505" i="1"/>
  <c r="F504" i="1"/>
  <c r="F503" i="1"/>
  <c r="F502" i="1"/>
  <c r="F501" i="1"/>
  <c r="F500" i="1"/>
  <c r="F499" i="1"/>
  <c r="F498" i="1"/>
  <c r="F497" i="1"/>
  <c r="F496" i="1"/>
  <c r="F495" i="1"/>
  <c r="F494" i="1"/>
  <c r="F493" i="1"/>
  <c r="F492" i="1"/>
  <c r="F491" i="1"/>
  <c r="F490" i="1"/>
  <c r="F489" i="1"/>
  <c r="F488" i="1"/>
  <c r="F487" i="1"/>
  <c r="F486" i="1"/>
  <c r="F485" i="1"/>
  <c r="F484" i="1"/>
  <c r="F483" i="1"/>
  <c r="F482" i="1"/>
  <c r="F481" i="1"/>
  <c r="F480" i="1"/>
  <c r="F479" i="1"/>
  <c r="F478" i="1"/>
  <c r="F477" i="1"/>
  <c r="F476" i="1"/>
  <c r="F475" i="1"/>
  <c r="F474" i="1"/>
  <c r="F473" i="1"/>
  <c r="F472" i="1"/>
  <c r="F471" i="1"/>
  <c r="F470" i="1"/>
  <c r="F469" i="1"/>
  <c r="F468" i="1"/>
  <c r="F467" i="1"/>
  <c r="F466" i="1"/>
  <c r="F465" i="1"/>
  <c r="F464" i="1"/>
  <c r="F463" i="1"/>
  <c r="F462" i="1"/>
  <c r="F461" i="1"/>
  <c r="F460" i="1"/>
  <c r="F459" i="1"/>
  <c r="F458" i="1"/>
  <c r="F457" i="1"/>
  <c r="F456" i="1"/>
  <c r="F455" i="1"/>
  <c r="F454" i="1"/>
  <c r="F453" i="1"/>
  <c r="F452" i="1"/>
  <c r="F451" i="1"/>
  <c r="F450" i="1"/>
  <c r="F449" i="1"/>
  <c r="F448" i="1"/>
  <c r="F447" i="1"/>
  <c r="F446" i="1"/>
  <c r="F445" i="1"/>
  <c r="F444" i="1"/>
  <c r="F443" i="1"/>
  <c r="F442" i="1"/>
  <c r="F441" i="1"/>
  <c r="F440" i="1"/>
  <c r="F439" i="1"/>
  <c r="F438" i="1"/>
  <c r="F437" i="1"/>
  <c r="F436" i="1"/>
  <c r="F435" i="1"/>
  <c r="F434" i="1"/>
  <c r="F433" i="1"/>
  <c r="F432" i="1"/>
  <c r="F431" i="1"/>
  <c r="F430" i="1"/>
  <c r="F429" i="1"/>
  <c r="F428" i="1"/>
  <c r="F427" i="1"/>
  <c r="F426" i="1"/>
  <c r="F425" i="1"/>
  <c r="F424" i="1"/>
  <c r="F423" i="1"/>
  <c r="F422" i="1"/>
  <c r="F421" i="1"/>
  <c r="F420" i="1"/>
  <c r="F419" i="1"/>
  <c r="F418" i="1"/>
  <c r="F417" i="1"/>
  <c r="F416" i="1"/>
  <c r="F415" i="1"/>
  <c r="F414" i="1"/>
  <c r="F413" i="1"/>
  <c r="F412" i="1"/>
  <c r="F411" i="1"/>
  <c r="F410" i="1"/>
  <c r="F409" i="1"/>
  <c r="F408" i="1"/>
  <c r="F407" i="1"/>
  <c r="F406" i="1"/>
  <c r="F405" i="1"/>
  <c r="F404" i="1"/>
  <c r="F403" i="1"/>
  <c r="F402" i="1"/>
  <c r="F401" i="1"/>
  <c r="F400" i="1"/>
  <c r="F399" i="1"/>
  <c r="F398" i="1"/>
  <c r="F397" i="1"/>
  <c r="F396" i="1"/>
  <c r="F395" i="1"/>
  <c r="F394" i="1"/>
  <c r="F393" i="1"/>
  <c r="F392" i="1"/>
  <c r="F391" i="1"/>
  <c r="F390" i="1"/>
  <c r="F389" i="1"/>
  <c r="F388" i="1"/>
  <c r="F387" i="1"/>
  <c r="F386" i="1"/>
  <c r="F385" i="1"/>
  <c r="F384" i="1"/>
  <c r="F383" i="1"/>
  <c r="F382" i="1"/>
  <c r="F381" i="1"/>
  <c r="F380" i="1"/>
  <c r="F379" i="1"/>
  <c r="F378" i="1"/>
  <c r="F377" i="1"/>
  <c r="F376" i="1"/>
  <c r="F375" i="1"/>
  <c r="F374" i="1"/>
  <c r="F373" i="1"/>
  <c r="F372" i="1"/>
  <c r="F371" i="1"/>
  <c r="F370" i="1"/>
  <c r="F369" i="1"/>
  <c r="F368" i="1"/>
  <c r="F367" i="1"/>
  <c r="F366" i="1"/>
  <c r="F365" i="1"/>
  <c r="F364" i="1"/>
  <c r="F363" i="1"/>
  <c r="F362" i="1"/>
  <c r="F361" i="1"/>
  <c r="F360" i="1"/>
  <c r="F359" i="1"/>
  <c r="F358" i="1"/>
  <c r="F357" i="1"/>
  <c r="F356" i="1"/>
  <c r="F355" i="1"/>
  <c r="F354" i="1"/>
  <c r="F353" i="1"/>
  <c r="F352" i="1"/>
  <c r="F351" i="1"/>
  <c r="F350" i="1"/>
  <c r="F349" i="1"/>
  <c r="F348" i="1"/>
  <c r="F347" i="1"/>
  <c r="F346" i="1"/>
  <c r="F345" i="1"/>
  <c r="F344" i="1"/>
  <c r="F343" i="1"/>
  <c r="F342" i="1"/>
  <c r="F341" i="1"/>
  <c r="F340" i="1"/>
  <c r="F339" i="1"/>
  <c r="F338" i="1"/>
  <c r="F337" i="1"/>
  <c r="F336" i="1"/>
  <c r="F335" i="1"/>
  <c r="F334" i="1"/>
  <c r="F333" i="1"/>
  <c r="F332" i="1"/>
  <c r="F331" i="1"/>
  <c r="F330" i="1"/>
  <c r="F329" i="1"/>
  <c r="F328" i="1"/>
  <c r="F327" i="1"/>
  <c r="F326" i="1"/>
  <c r="F325" i="1"/>
  <c r="F324" i="1"/>
  <c r="F323" i="1"/>
  <c r="F322" i="1"/>
  <c r="F321" i="1"/>
  <c r="F320" i="1"/>
  <c r="F319" i="1"/>
  <c r="F318" i="1"/>
  <c r="F317" i="1"/>
  <c r="F316" i="1"/>
  <c r="F315" i="1"/>
  <c r="F314" i="1"/>
  <c r="F313" i="1"/>
  <c r="F312" i="1"/>
  <c r="F311" i="1"/>
  <c r="F310" i="1"/>
  <c r="F309" i="1"/>
  <c r="F308" i="1"/>
  <c r="F307" i="1"/>
  <c r="F306" i="1"/>
  <c r="F305" i="1"/>
  <c r="F304" i="1"/>
  <c r="F303" i="1"/>
  <c r="F302" i="1"/>
  <c r="F301" i="1"/>
  <c r="F300" i="1"/>
  <c r="F299" i="1"/>
  <c r="F298" i="1"/>
  <c r="F297" i="1"/>
  <c r="F296" i="1"/>
  <c r="F295" i="1"/>
  <c r="F294" i="1"/>
  <c r="F293" i="1"/>
  <c r="F292" i="1"/>
  <c r="F291" i="1"/>
  <c r="F290" i="1"/>
  <c r="F289" i="1"/>
  <c r="F288" i="1"/>
  <c r="F287" i="1"/>
  <c r="F286" i="1"/>
  <c r="F285" i="1"/>
  <c r="F284" i="1"/>
  <c r="F283" i="1"/>
  <c r="F282" i="1"/>
  <c r="F281" i="1"/>
  <c r="F280" i="1"/>
  <c r="F279" i="1"/>
  <c r="F278" i="1"/>
  <c r="F277" i="1"/>
  <c r="F276" i="1"/>
  <c r="F275" i="1"/>
  <c r="F274" i="1"/>
  <c r="F273" i="1"/>
  <c r="F272" i="1"/>
  <c r="F271" i="1"/>
  <c r="F270" i="1"/>
  <c r="F269" i="1"/>
  <c r="F268" i="1"/>
  <c r="F267" i="1"/>
  <c r="F266" i="1"/>
  <c r="F265" i="1"/>
  <c r="F264" i="1"/>
  <c r="F263" i="1"/>
  <c r="F262" i="1"/>
  <c r="F261" i="1"/>
  <c r="F260" i="1"/>
  <c r="F259" i="1"/>
  <c r="F258" i="1"/>
  <c r="F257" i="1"/>
  <c r="F256" i="1"/>
  <c r="F255" i="1"/>
  <c r="F254" i="1"/>
  <c r="F253" i="1"/>
  <c r="F252" i="1"/>
  <c r="F251" i="1"/>
  <c r="F250" i="1"/>
  <c r="F249" i="1"/>
  <c r="F248" i="1"/>
  <c r="F247" i="1"/>
  <c r="F246" i="1"/>
  <c r="F245" i="1"/>
  <c r="F244" i="1"/>
  <c r="F243" i="1"/>
  <c r="F242" i="1"/>
  <c r="F241" i="1"/>
  <c r="F240" i="1"/>
  <c r="F239" i="1"/>
  <c r="F238" i="1"/>
  <c r="F237" i="1"/>
  <c r="F236" i="1"/>
  <c r="F235" i="1"/>
  <c r="F234" i="1"/>
  <c r="F233" i="1"/>
  <c r="F232" i="1"/>
  <c r="F231" i="1"/>
  <c r="F230" i="1"/>
  <c r="F229" i="1"/>
  <c r="F228" i="1"/>
  <c r="F227" i="1"/>
  <c r="F226" i="1"/>
  <c r="F225" i="1"/>
  <c r="F224" i="1"/>
  <c r="F223" i="1"/>
  <c r="F222" i="1"/>
  <c r="F221" i="1"/>
  <c r="F220" i="1"/>
  <c r="F219" i="1"/>
  <c r="F218" i="1"/>
  <c r="F217" i="1"/>
  <c r="F216" i="1"/>
  <c r="F215" i="1"/>
  <c r="F214" i="1"/>
  <c r="F213" i="1"/>
  <c r="F212" i="1"/>
  <c r="F211" i="1"/>
  <c r="F210" i="1"/>
  <c r="F209" i="1"/>
  <c r="F208" i="1"/>
  <c r="F207" i="1"/>
  <c r="F206" i="1"/>
  <c r="F205" i="1"/>
  <c r="F204" i="1"/>
  <c r="F203" i="1"/>
  <c r="F202" i="1"/>
  <c r="F201" i="1"/>
  <c r="F200" i="1"/>
  <c r="F199" i="1"/>
  <c r="F198" i="1"/>
  <c r="F197" i="1"/>
  <c r="F196" i="1"/>
  <c r="F195" i="1"/>
  <c r="F194" i="1"/>
  <c r="F193" i="1"/>
  <c r="F192" i="1"/>
  <c r="F191" i="1"/>
  <c r="F190" i="1"/>
  <c r="F189" i="1"/>
  <c r="F188" i="1"/>
  <c r="F187" i="1"/>
  <c r="F186" i="1"/>
  <c r="F185" i="1"/>
  <c r="F184" i="1"/>
  <c r="F183" i="1"/>
  <c r="F182" i="1"/>
  <c r="F181" i="1"/>
  <c r="F180" i="1"/>
  <c r="F179" i="1"/>
  <c r="F178" i="1"/>
  <c r="F177" i="1"/>
  <c r="F176" i="1"/>
  <c r="F175" i="1"/>
  <c r="F174" i="1"/>
  <c r="F173" i="1"/>
  <c r="F172" i="1"/>
  <c r="F171" i="1"/>
  <c r="F170" i="1"/>
  <c r="F169" i="1"/>
  <c r="F168" i="1"/>
  <c r="F167" i="1"/>
  <c r="F166" i="1"/>
  <c r="F165" i="1"/>
  <c r="F164" i="1"/>
  <c r="F163" i="1"/>
  <c r="F162" i="1"/>
  <c r="F161" i="1"/>
  <c r="F160" i="1"/>
  <c r="F159" i="1"/>
  <c r="F158" i="1"/>
  <c r="F157" i="1"/>
  <c r="F156" i="1"/>
  <c r="F155" i="1"/>
  <c r="F154" i="1"/>
  <c r="F153" i="1"/>
  <c r="F152" i="1"/>
  <c r="F151" i="1"/>
  <c r="F150" i="1"/>
  <c r="F149" i="1"/>
  <c r="F148" i="1"/>
  <c r="F147" i="1"/>
  <c r="F146" i="1"/>
  <c r="F145" i="1"/>
  <c r="F144" i="1"/>
  <c r="F143" i="1"/>
  <c r="F142" i="1"/>
  <c r="F141" i="1"/>
  <c r="F140" i="1"/>
  <c r="F139" i="1"/>
  <c r="F138" i="1"/>
  <c r="F137" i="1"/>
  <c r="F136" i="1"/>
  <c r="F135" i="1"/>
  <c r="F134" i="1"/>
  <c r="F133" i="1"/>
  <c r="F132" i="1"/>
  <c r="F131" i="1"/>
  <c r="F130" i="1"/>
  <c r="F129" i="1"/>
  <c r="F128" i="1"/>
  <c r="F127" i="1"/>
  <c r="F126" i="1"/>
  <c r="F125" i="1"/>
  <c r="F124" i="1"/>
  <c r="F123" i="1"/>
  <c r="F122" i="1"/>
  <c r="F121" i="1"/>
  <c r="F120" i="1"/>
  <c r="F119" i="1"/>
  <c r="F118" i="1"/>
  <c r="F117" i="1"/>
  <c r="F116" i="1"/>
  <c r="F115" i="1"/>
  <c r="F114" i="1"/>
  <c r="F113" i="1"/>
  <c r="F112" i="1"/>
  <c r="F111" i="1"/>
  <c r="F110" i="1"/>
  <c r="F109" i="1"/>
  <c r="F108" i="1"/>
  <c r="F107" i="1"/>
  <c r="F106" i="1"/>
  <c r="F105" i="1"/>
  <c r="F104" i="1"/>
  <c r="F103" i="1"/>
  <c r="F102" i="1"/>
  <c r="F101" i="1"/>
  <c r="F100" i="1"/>
  <c r="F99" i="1"/>
  <c r="F98" i="1"/>
  <c r="F97" i="1"/>
  <c r="F96" i="1"/>
  <c r="F95" i="1"/>
  <c r="F94" i="1"/>
  <c r="F93" i="1"/>
  <c r="F92" i="1"/>
  <c r="F91" i="1"/>
  <c r="F90" i="1"/>
  <c r="F89" i="1"/>
  <c r="F88" i="1"/>
  <c r="F87" i="1"/>
  <c r="F86" i="1"/>
  <c r="F85" i="1"/>
  <c r="F84" i="1"/>
  <c r="F83" i="1"/>
  <c r="F82" i="1"/>
  <c r="F81" i="1"/>
  <c r="F80" i="1"/>
  <c r="F79" i="1"/>
  <c r="F78" i="1"/>
  <c r="F77" i="1"/>
  <c r="F76" i="1"/>
  <c r="F75" i="1"/>
  <c r="F74" i="1"/>
  <c r="F73" i="1"/>
  <c r="F72" i="1"/>
  <c r="F71" i="1"/>
  <c r="F70" i="1"/>
  <c r="F69" i="1"/>
  <c r="F68" i="1"/>
  <c r="F67" i="1"/>
  <c r="F66" i="1"/>
  <c r="F65" i="1"/>
  <c r="F64" i="1"/>
  <c r="F63" i="1"/>
  <c r="F62" i="1"/>
  <c r="F61" i="1"/>
  <c r="F60" i="1"/>
  <c r="F59" i="1"/>
  <c r="F58" i="1"/>
  <c r="F57" i="1"/>
  <c r="F56" i="1"/>
  <c r="F55" i="1"/>
  <c r="F54" i="1"/>
  <c r="F53" i="1"/>
  <c r="F52" i="1"/>
  <c r="F51" i="1"/>
  <c r="F50" i="1"/>
  <c r="F49" i="1"/>
  <c r="F48" i="1"/>
  <c r="F47" i="1"/>
  <c r="F46" i="1"/>
  <c r="F45" i="1"/>
  <c r="F44" i="1"/>
  <c r="F43" i="1"/>
  <c r="F42" i="1"/>
  <c r="F41" i="1"/>
  <c r="F40" i="1"/>
  <c r="F39" i="1"/>
  <c r="F38" i="1"/>
  <c r="F37" i="1"/>
  <c r="F36" i="1"/>
  <c r="F35" i="1"/>
  <c r="F34" i="1"/>
  <c r="F33" i="1"/>
  <c r="F32" i="1"/>
  <c r="F31" i="1"/>
  <c r="F30" i="1"/>
  <c r="F29" i="1"/>
  <c r="F28" i="1"/>
  <c r="F27" i="1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  <c r="F8" i="1"/>
  <c r="F7" i="1"/>
  <c r="F6" i="1"/>
  <c r="F5" i="1"/>
  <c r="F4" i="1"/>
  <c r="F3" i="1"/>
  <c r="F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445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76" i="1"/>
  <c r="E477" i="1"/>
  <c r="E478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2" i="1"/>
  <c r="D407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2" i="1"/>
</calcChain>
</file>

<file path=xl/sharedStrings.xml><?xml version="1.0" encoding="utf-8"?>
<sst xmlns="http://schemas.openxmlformats.org/spreadsheetml/2006/main" count="3134" uniqueCount="567">
  <si>
    <t>Item Name</t>
  </si>
  <si>
    <t>Category</t>
  </si>
  <si>
    <t>Buy Price</t>
  </si>
  <si>
    <t>Sell Price</t>
  </si>
  <si>
    <t>Profit Margin</t>
  </si>
  <si>
    <t>ROI %</t>
  </si>
  <si>
    <t>Current Buy Price</t>
  </si>
  <si>
    <t>Concrete Block</t>
  </si>
  <si>
    <t>Buildings - Concrete</t>
  </si>
  <si>
    <t>Concrete Chamfer Block</t>
  </si>
  <si>
    <t>Concrete Cut Wall</t>
  </si>
  <si>
    <t>Concrete Floor</t>
  </si>
  <si>
    <t>Concrete Ramp 1/4</t>
  </si>
  <si>
    <t>Concrete Ramp 2/4</t>
  </si>
  <si>
    <t>Concrete Ramp 3/4</t>
  </si>
  <si>
    <t>Concrete Ramp 4/4</t>
  </si>
  <si>
    <t>Concrete Roof</t>
  </si>
  <si>
    <t>Concrete Roof Corner</t>
  </si>
  <si>
    <t>Concrete Roof Corner Inv</t>
  </si>
  <si>
    <t>Concrete Wall</t>
  </si>
  <si>
    <t>Concrete Wall Inv</t>
  </si>
  <si>
    <t>Barrel 1</t>
  </si>
  <si>
    <t>Buildings - Decoration</t>
  </si>
  <si>
    <t>Barrel 2</t>
  </si>
  <si>
    <t>Barrel 3</t>
  </si>
  <si>
    <t>Barrel 4</t>
  </si>
  <si>
    <t>Brick Pallet</t>
  </si>
  <si>
    <t>Cardboard Boxes</t>
  </si>
  <si>
    <t>Chair 1</t>
  </si>
  <si>
    <t>Chair 2</t>
  </si>
  <si>
    <t>Concrete Bags</t>
  </si>
  <si>
    <t>File Cabinet</t>
  </si>
  <si>
    <t>Fire Extinguisher</t>
  </si>
  <si>
    <t>Full Dumpster</t>
  </si>
  <si>
    <t>Gas Cannister</t>
  </si>
  <si>
    <t>Large Rock</t>
  </si>
  <si>
    <t>Locker</t>
  </si>
  <si>
    <t>Medium Rock</t>
  </si>
  <si>
    <t>Metal Bumper 1</t>
  </si>
  <si>
    <t>Metal Bumper 2</t>
  </si>
  <si>
    <t>Metal Bumper 3</t>
  </si>
  <si>
    <t>Office Cabinet</t>
  </si>
  <si>
    <t>Office Chair 1</t>
  </si>
  <si>
    <t>Office Chair 2</t>
  </si>
  <si>
    <t>Office Chair 3</t>
  </si>
  <si>
    <t>Office Sofa</t>
  </si>
  <si>
    <t>Office Table</t>
  </si>
  <si>
    <t>Orange Pylon 1</t>
  </si>
  <si>
    <t>Orange Pylon 2</t>
  </si>
  <si>
    <t>Orange Pylon 3</t>
  </si>
  <si>
    <t>Orange Pylon 4</t>
  </si>
  <si>
    <t>Pallet of Boxes</t>
  </si>
  <si>
    <t>PC Monitor</t>
  </si>
  <si>
    <t>Porta Potty</t>
  </si>
  <si>
    <t>Propane Tank</t>
  </si>
  <si>
    <t>Road Sign 1</t>
  </si>
  <si>
    <t>Road Sign 2</t>
  </si>
  <si>
    <t>Road Sign 3</t>
  </si>
  <si>
    <t>Road Sign 4</t>
  </si>
  <si>
    <t>Road Sign 5</t>
  </si>
  <si>
    <t>Road Sign 6</t>
  </si>
  <si>
    <t>Rock</t>
  </si>
  <si>
    <t>Scrap Bin</t>
  </si>
  <si>
    <t>Sofa Table</t>
  </si>
  <si>
    <t>Traffic Barrier</t>
  </si>
  <si>
    <t>Tree 1</t>
  </si>
  <si>
    <t>Tree 2</t>
  </si>
  <si>
    <t>Tree 3</t>
  </si>
  <si>
    <t>Tree 4</t>
  </si>
  <si>
    <t>Tree 5</t>
  </si>
  <si>
    <t>Vending Machine</t>
  </si>
  <si>
    <t>Water block</t>
  </si>
  <si>
    <t>Water Cooler</t>
  </si>
  <si>
    <t>Water tank</t>
  </si>
  <si>
    <t>Fuel Station</t>
  </si>
  <si>
    <t>Buildings - Fuel</t>
  </si>
  <si>
    <t>Buildings - Polished Concrete</t>
  </si>
  <si>
    <t>Cell tower</t>
  </si>
  <si>
    <t>Buildings - Quest buildings</t>
  </si>
  <si>
    <t>Company Bank</t>
  </si>
  <si>
    <t>General Store</t>
  </si>
  <si>
    <t>Radio array</t>
  </si>
  <si>
    <t>Sellpoint</t>
  </si>
  <si>
    <t>Watch tower</t>
  </si>
  <si>
    <t>Buildings - Rough Concrete</t>
  </si>
  <si>
    <t>Steel Block</t>
  </si>
  <si>
    <t>Buildings - Steel</t>
  </si>
  <si>
    <t>Steel Ceiling</t>
  </si>
  <si>
    <t>Steel Floor</t>
  </si>
  <si>
    <t>Steel Railing</t>
  </si>
  <si>
    <t>Steel Roof</t>
  </si>
  <si>
    <t>Steel Roof Corner</t>
  </si>
  <si>
    <t>Steel Roof Corner Inv</t>
  </si>
  <si>
    <t>Steel Staircase</t>
  </si>
  <si>
    <t>Steel Wall</t>
  </si>
  <si>
    <t>Steel Wall Cut</t>
  </si>
  <si>
    <t>Steel Wall Cut Inv</t>
  </si>
  <si>
    <t>Steel Window</t>
  </si>
  <si>
    <t>Massive Door</t>
  </si>
  <si>
    <t>Buildings - Steel Doors</t>
  </si>
  <si>
    <t>Small door</t>
  </si>
  <si>
    <t>Steel Mesh Ceiling</t>
  </si>
  <si>
    <t>Buildings - Steel Mesh</t>
  </si>
  <si>
    <t>Steel Mesh Roof</t>
  </si>
  <si>
    <t>Steel Mesh Wall</t>
  </si>
  <si>
    <t>Steel Mesh Wall L</t>
  </si>
  <si>
    <t>Steel Mesh Wall R</t>
  </si>
  <si>
    <t>Wood Block</t>
  </si>
  <si>
    <t>Buildings - Wood</t>
  </si>
  <si>
    <t>Wood Floor</t>
  </si>
  <si>
    <t>Wood Roof</t>
  </si>
  <si>
    <t>Wood Roof Corner</t>
  </si>
  <si>
    <t>Wood Roof Corner Inv</t>
  </si>
  <si>
    <t>Wood Wall</t>
  </si>
  <si>
    <t>Wood Wall Inv L</t>
  </si>
  <si>
    <t>Wood Wall Inv R</t>
  </si>
  <si>
    <t>Wood Wall L</t>
  </si>
  <si>
    <t>Wood Wall R</t>
  </si>
  <si>
    <t>Bed</t>
  </si>
  <si>
    <t>Buildings - Workbenches</t>
  </si>
  <si>
    <t>CNC Cutter</t>
  </si>
  <si>
    <t>CNC Mill</t>
  </si>
  <si>
    <t>Concrete Mixer</t>
  </si>
  <si>
    <t>Oil Derrick</t>
  </si>
  <si>
    <t>Ore Smelter</t>
  </si>
  <si>
    <t>Small Washplant</t>
  </si>
  <si>
    <t>Steel Press</t>
  </si>
  <si>
    <t>Steel Roller</t>
  </si>
  <si>
    <t>Storage Container</t>
  </si>
  <si>
    <t>Wood Workbench</t>
  </si>
  <si>
    <t>Built Battery</t>
  </si>
  <si>
    <t>Equipment - Batteries</t>
  </si>
  <si>
    <t>High Quality Battery</t>
  </si>
  <si>
    <t>Low Quality Battery</t>
  </si>
  <si>
    <t>No Brand Battery</t>
  </si>
  <si>
    <t>OEM Battery</t>
  </si>
  <si>
    <t>Used Battery</t>
  </si>
  <si>
    <t>Built ECU</t>
  </si>
  <si>
    <t>Equipment - ECUs</t>
  </si>
  <si>
    <t>High Quality ECU</t>
  </si>
  <si>
    <t>Low Quality ECU</t>
  </si>
  <si>
    <t>No Brand ECU</t>
  </si>
  <si>
    <t>OEM ECU</t>
  </si>
  <si>
    <t>Used ECU</t>
  </si>
  <si>
    <t>ANFO</t>
  </si>
  <si>
    <t>Equipment - Explosives</t>
  </si>
  <si>
    <t>Detonator</t>
  </si>
  <si>
    <t>Draemite</t>
  </si>
  <si>
    <t>Dynamex</t>
  </si>
  <si>
    <t>Plowshare</t>
  </si>
  <si>
    <t>RDX</t>
  </si>
  <si>
    <t>TNT</t>
  </si>
  <si>
    <t>Built Filter Kit</t>
  </si>
  <si>
    <t>Equipment - Filters</t>
  </si>
  <si>
    <t>High Quality Filter Kit</t>
  </si>
  <si>
    <t>Low Quality Filter Kit</t>
  </si>
  <si>
    <t>No Brand Filter Kit</t>
  </si>
  <si>
    <t>OEM Filter Kit</t>
  </si>
  <si>
    <t>Used Filter Kit</t>
  </si>
  <si>
    <t>GPS Receiver</t>
  </si>
  <si>
    <t>Equipment - GPS</t>
  </si>
  <si>
    <t>Axe</t>
  </si>
  <si>
    <t>Equipment - Handtools</t>
  </si>
  <si>
    <t>Fast Pickaxe</t>
  </si>
  <si>
    <t>Fast Shovel</t>
  </si>
  <si>
    <t>Fast Sledge</t>
  </si>
  <si>
    <t>Light</t>
  </si>
  <si>
    <t>Metal Analyser</t>
  </si>
  <si>
    <t>Pickaxe</t>
  </si>
  <si>
    <t>Pressure Washer</t>
  </si>
  <si>
    <t>Radio</t>
  </si>
  <si>
    <t>Shovel</t>
  </si>
  <si>
    <t>Sledge</t>
  </si>
  <si>
    <t>Horn</t>
  </si>
  <si>
    <t>Equipment - Horn</t>
  </si>
  <si>
    <t>Built Hydraulic Hose</t>
  </si>
  <si>
    <t>Equipment - Hoses</t>
  </si>
  <si>
    <t>High Quality Hydraulic Hose</t>
  </si>
  <si>
    <t>Low Quality Hydraulic Hose</t>
  </si>
  <si>
    <t>No Brand Hydraulic Hose</t>
  </si>
  <si>
    <t>OEM Hydraulic Hose</t>
  </si>
  <si>
    <t>Used Hydraulic Hose</t>
  </si>
  <si>
    <t>Built Injector</t>
  </si>
  <si>
    <t>Equipment - Injectors</t>
  </si>
  <si>
    <t>High Quality Injector</t>
  </si>
  <si>
    <t>Low Quality Injector</t>
  </si>
  <si>
    <t>No Brand Injector</t>
  </si>
  <si>
    <t>OEM Injector</t>
  </si>
  <si>
    <t>Used Injector</t>
  </si>
  <si>
    <t>LED Beacon</t>
  </si>
  <si>
    <t>Equipment - Lights</t>
  </si>
  <si>
    <t>LED Beacon Bar</t>
  </si>
  <si>
    <t>LED Light Bar 1</t>
  </si>
  <si>
    <t>LED Light Bar 2</t>
  </si>
  <si>
    <t>LED Light Bar 3</t>
  </si>
  <si>
    <t>LED Power Light</t>
  </si>
  <si>
    <t>LED Round Light</t>
  </si>
  <si>
    <t>LED Square Light</t>
  </si>
  <si>
    <t>LED Square Light (Large)</t>
  </si>
  <si>
    <t>LED Work Light</t>
  </si>
  <si>
    <t>Black</t>
  </si>
  <si>
    <t>Equipment - Paint</t>
  </si>
  <si>
    <t>Blue</t>
  </si>
  <si>
    <t>Blue, Light</t>
  </si>
  <si>
    <t>Gray</t>
  </si>
  <si>
    <t>Gray, Light</t>
  </si>
  <si>
    <t>Green</t>
  </si>
  <si>
    <t>Green, Dark</t>
  </si>
  <si>
    <t>Green, Forest</t>
  </si>
  <si>
    <t>Green, Light</t>
  </si>
  <si>
    <t>Green, Mint</t>
  </si>
  <si>
    <t>Green, Moss</t>
  </si>
  <si>
    <t>Orange</t>
  </si>
  <si>
    <t>Orange, Dark</t>
  </si>
  <si>
    <t>Orange, Sunset</t>
  </si>
  <si>
    <t>Pink</t>
  </si>
  <si>
    <t>Pink, Dark</t>
  </si>
  <si>
    <t>Pink, Light</t>
  </si>
  <si>
    <t>Purple</t>
  </si>
  <si>
    <t>Purple, Dark</t>
  </si>
  <si>
    <t>Red</t>
  </si>
  <si>
    <t>Red, Crimson</t>
  </si>
  <si>
    <t>Red, Light</t>
  </si>
  <si>
    <t>Red, Midnight</t>
  </si>
  <si>
    <t>Turquoise</t>
  </si>
  <si>
    <t>Turquoise, Light</t>
  </si>
  <si>
    <t>White</t>
  </si>
  <si>
    <t>Yellow</t>
  </si>
  <si>
    <t>Yellow, Dark</t>
  </si>
  <si>
    <t>Yellow, Darker</t>
  </si>
  <si>
    <t>Yellow, Fire</t>
  </si>
  <si>
    <t>Built Hydraulic Pump</t>
  </si>
  <si>
    <t>Equipment - Pumps</t>
  </si>
  <si>
    <t>High Quality Hydraulic Pump</t>
  </si>
  <si>
    <t>Low Quality Hydraulic Pump</t>
  </si>
  <si>
    <t>No Brand Hydraulic Pump</t>
  </si>
  <si>
    <t>OEM Hydraulic Pump</t>
  </si>
  <si>
    <t>Used Hydraulic Pump</t>
  </si>
  <si>
    <t>Built Hydraulic Ram</t>
  </si>
  <si>
    <t>Equipment - Rams</t>
  </si>
  <si>
    <t>High Quality Hydraulic Ram</t>
  </si>
  <si>
    <t>Low Quality Hydraulic Ram</t>
  </si>
  <si>
    <t>No Brand Hydraulic Ram</t>
  </si>
  <si>
    <t>OEM Hydraulic Ram</t>
  </si>
  <si>
    <t>Used Hydraulic Ram</t>
  </si>
  <si>
    <t>Built Sensor</t>
  </si>
  <si>
    <t>Equipment - Sensors</t>
  </si>
  <si>
    <t>High Quality Sensor</t>
  </si>
  <si>
    <t>Low Quality Sensor</t>
  </si>
  <si>
    <t>No Brand Sensor</t>
  </si>
  <si>
    <t>OEM Sensor</t>
  </si>
  <si>
    <t>Used Sensor</t>
  </si>
  <si>
    <t>Bearing</t>
  </si>
  <si>
    <t>Equipment - Sub Parts</t>
  </si>
  <si>
    <t>Bolts &amp; Nuts</t>
  </si>
  <si>
    <t>Cable</t>
  </si>
  <si>
    <t>Cam Axle</t>
  </si>
  <si>
    <t>Chain</t>
  </si>
  <si>
    <t>Drive Axle</t>
  </si>
  <si>
    <t>Electric Motor</t>
  </si>
  <si>
    <t>Engine head</t>
  </si>
  <si>
    <t>Gear</t>
  </si>
  <si>
    <t>Gear Axle</t>
  </si>
  <si>
    <t>Gearbox</t>
  </si>
  <si>
    <t>Large Drive Axle</t>
  </si>
  <si>
    <t>Piston Rod</t>
  </si>
  <si>
    <t>Small Gearbox</t>
  </si>
  <si>
    <t>Stepper Motor</t>
  </si>
  <si>
    <t>Aggressive Track L</t>
  </si>
  <si>
    <t>Equipment - Tracks</t>
  </si>
  <si>
    <t>Aggressive Track M</t>
  </si>
  <si>
    <t>Aggressive Track S</t>
  </si>
  <si>
    <t>Crane Track L</t>
  </si>
  <si>
    <t>Crane Track M</t>
  </si>
  <si>
    <t>Crane Track S</t>
  </si>
  <si>
    <t>Dozer Track L</t>
  </si>
  <si>
    <t>Dozer Track M</t>
  </si>
  <si>
    <t>Dozer Track S</t>
  </si>
  <si>
    <t>Excavator Track L</t>
  </si>
  <si>
    <t>Excavator Track M</t>
  </si>
  <si>
    <t>Excavator Track S</t>
  </si>
  <si>
    <t>Built Turbo</t>
  </si>
  <si>
    <t>Equipment - Turbos</t>
  </si>
  <si>
    <t>High Quality Turbo</t>
  </si>
  <si>
    <t>Low Quality Turbo</t>
  </si>
  <si>
    <t>No Brand Turbo</t>
  </si>
  <si>
    <t>OEM Turbo</t>
  </si>
  <si>
    <t>Used Turbo</t>
  </si>
  <si>
    <t>Built Wearplate</t>
  </si>
  <si>
    <t>Equipment - Wearparts</t>
  </si>
  <si>
    <t>High Quality Wearplate</t>
  </si>
  <si>
    <t>Low Quality Wearplate</t>
  </si>
  <si>
    <t>No Brand Wearplate</t>
  </si>
  <si>
    <t>OEM Wearplate</t>
  </si>
  <si>
    <t>Used Wearplate</t>
  </si>
  <si>
    <t>Chained Tire</t>
  </si>
  <si>
    <t>Equipment - Wheels</t>
  </si>
  <si>
    <t>Narrow Rock Tire</t>
  </si>
  <si>
    <t>Truck Wheel</t>
  </si>
  <si>
    <t>Truck Wheel Dual</t>
  </si>
  <si>
    <t>Twin Wheel</t>
  </si>
  <si>
    <t>Wheel 1</t>
  </si>
  <si>
    <t>Wheel 2</t>
  </si>
  <si>
    <t>Wheel 3</t>
  </si>
  <si>
    <t>Wheel 4</t>
  </si>
  <si>
    <t>Wheel 5</t>
  </si>
  <si>
    <t>Big Hopper</t>
  </si>
  <si>
    <t>Factory - Conveyors</t>
  </si>
  <si>
    <t>Big Hopper Dual Outputs</t>
  </si>
  <si>
    <t>Chute</t>
  </si>
  <si>
    <t>Down 4x4</t>
  </si>
  <si>
    <t>Down 8x4</t>
  </si>
  <si>
    <t>Down 8x6</t>
  </si>
  <si>
    <t>Dump Deck</t>
  </si>
  <si>
    <t>Elevator 8m</t>
  </si>
  <si>
    <t>Hopper</t>
  </si>
  <si>
    <t>Left 2x</t>
  </si>
  <si>
    <t>Merger</t>
  </si>
  <si>
    <t>Offset Left 4m</t>
  </si>
  <si>
    <t>Offset Right 4m</t>
  </si>
  <si>
    <t>Right 2x</t>
  </si>
  <si>
    <t>Splitter</t>
  </si>
  <si>
    <t>Storage</t>
  </si>
  <si>
    <t>Straight 2m</t>
  </si>
  <si>
    <t>Straight 4m</t>
  </si>
  <si>
    <t>Straight 6m</t>
  </si>
  <si>
    <t>Straight 8m</t>
  </si>
  <si>
    <t>Up 4x4</t>
  </si>
  <si>
    <t>Up 8x4</t>
  </si>
  <si>
    <t>Up 8x6</t>
  </si>
  <si>
    <t>Liquid Tank</t>
  </si>
  <si>
    <t>Factory - Pipeline</t>
  </si>
  <si>
    <t>Pipe Down 4x4</t>
  </si>
  <si>
    <t>Pipe Down 8x4</t>
  </si>
  <si>
    <t>Pipe Down 8x6</t>
  </si>
  <si>
    <t>Pipe Left 2m</t>
  </si>
  <si>
    <t>Pipe Merger</t>
  </si>
  <si>
    <t>Pipe Offset Left</t>
  </si>
  <si>
    <t>Pipe Offset Right</t>
  </si>
  <si>
    <t>Pipe Right 2m</t>
  </si>
  <si>
    <t>Pipe Splitter</t>
  </si>
  <si>
    <t>Pipe Straight 2m</t>
  </si>
  <si>
    <t>Pipe Straight 4m</t>
  </si>
  <si>
    <t>Pipe Straight 6m</t>
  </si>
  <si>
    <t>Pipe Straight 8m</t>
  </si>
  <si>
    <t>Pipe Up 4x4</t>
  </si>
  <si>
    <t>Pipe Up 8x4</t>
  </si>
  <si>
    <t>Pipe Up 8x6</t>
  </si>
  <si>
    <t>Coal plant (3600 kW)</t>
  </si>
  <si>
    <t>Factory - Power</t>
  </si>
  <si>
    <t>Coal plant (4200 kWh)</t>
  </si>
  <si>
    <t>Generator Fuel</t>
  </si>
  <si>
    <t>Power Cable</t>
  </si>
  <si>
    <t>Power Generator 1600kW</t>
  </si>
  <si>
    <t>Power Generator 2200kW</t>
  </si>
  <si>
    <t>Power Generator 2800kW</t>
  </si>
  <si>
    <t>Power Input 10x Speed</t>
  </si>
  <si>
    <t>Power Input 1x Speed</t>
  </si>
  <si>
    <t>Power Input 2x Speed</t>
  </si>
  <si>
    <t>Power Input 3x Speed</t>
  </si>
  <si>
    <t>Power Input 5x Speed</t>
  </si>
  <si>
    <t>Power Pylon 1400kW</t>
  </si>
  <si>
    <t>Power Pylon 1400kW (variant)</t>
  </si>
  <si>
    <t>Power Pylon 3600kW</t>
  </si>
  <si>
    <t>Power Pylon 3600kW (variant)</t>
  </si>
  <si>
    <t>Power Pylon 5400kW</t>
  </si>
  <si>
    <t>Power Pylon 5400kW (variant)</t>
  </si>
  <si>
    <t>Power Pylon 600kW</t>
  </si>
  <si>
    <t>Power Pylon 600kW (variant)</t>
  </si>
  <si>
    <t>Solar Panel 300kW</t>
  </si>
  <si>
    <t>Solar Panel 500kW</t>
  </si>
  <si>
    <t>Solar Panel 700kW</t>
  </si>
  <si>
    <t>Wall Mounted Light</t>
  </si>
  <si>
    <t>Wind Turbine 1200kW</t>
  </si>
  <si>
    <t>Wind Turbine 1800kW</t>
  </si>
  <si>
    <t>Wind Turbine 800kW</t>
  </si>
  <si>
    <t>Asphalt Plant</t>
  </si>
  <si>
    <t>Factory - Production</t>
  </si>
  <si>
    <t>Bar Roller</t>
  </si>
  <si>
    <t>Beam Roller</t>
  </si>
  <si>
    <t>Bloom Roller</t>
  </si>
  <si>
    <t>Coal Screen</t>
  </si>
  <si>
    <t>Coil Roller</t>
  </si>
  <si>
    <t>Cone Crusher</t>
  </si>
  <si>
    <t>Froth Floater</t>
  </si>
  <si>
    <t>High Temp Smelter</t>
  </si>
  <si>
    <t>High Temp Sorter</t>
  </si>
  <si>
    <t>Jaw Crusher</t>
  </si>
  <si>
    <t>Oil Pump</t>
  </si>
  <si>
    <t>Oil refinery</t>
  </si>
  <si>
    <t>Plate Shear</t>
  </si>
  <si>
    <t>Rod Roller</t>
  </si>
  <si>
    <t>Shaker Screen</t>
  </si>
  <si>
    <t>Sluice box</t>
  </si>
  <si>
    <t>Smelter</t>
  </si>
  <si>
    <t>Trommel</t>
  </si>
  <si>
    <t>Washplant</t>
  </si>
  <si>
    <t>Water Pump</t>
  </si>
  <si>
    <t>Water refinery</t>
  </si>
  <si>
    <t>Metal Ore Sorter</t>
  </si>
  <si>
    <t>Cement</t>
  </si>
  <si>
    <t>Materials - Concrete</t>
  </si>
  <si>
    <t>Fuel</t>
  </si>
  <si>
    <t>Materials - Fuel</t>
  </si>
  <si>
    <t>Steel Rod</t>
  </si>
  <si>
    <t>Materials - Metals</t>
  </si>
  <si>
    <t>Steel Sheet</t>
  </si>
  <si>
    <t>Aluminium Bar</t>
  </si>
  <si>
    <t>Materials - Ore</t>
  </si>
  <si>
    <t>Copper Bar</t>
  </si>
  <si>
    <t>Diamond</t>
  </si>
  <si>
    <t>Gold Bar</t>
  </si>
  <si>
    <t>Iron Bar</t>
  </si>
  <si>
    <t>Lithium Bar</t>
  </si>
  <si>
    <t>Platinum Bar</t>
  </si>
  <si>
    <t>Ruby</t>
  </si>
  <si>
    <t>Silicon Bar</t>
  </si>
  <si>
    <t>Silver Bar</t>
  </si>
  <si>
    <t>Steel Bar</t>
  </si>
  <si>
    <t>Electronic Parts</t>
  </si>
  <si>
    <t>Materials - Sub Parts</t>
  </si>
  <si>
    <t>Empty Barrel</t>
  </si>
  <si>
    <t>Plastics</t>
  </si>
  <si>
    <t>Rubber</t>
  </si>
  <si>
    <t>Wearplate</t>
  </si>
  <si>
    <t>Wood Beam</t>
  </si>
  <si>
    <t>Materials - Wood</t>
  </si>
  <si>
    <t>Wood Planks</t>
  </si>
  <si>
    <t>Wood Sheet</t>
  </si>
  <si>
    <t>Asphalt</t>
  </si>
  <si>
    <t>Resources - Asphalt</t>
  </si>
  <si>
    <t>Dirt</t>
  </si>
  <si>
    <t>Resources - Dirt</t>
  </si>
  <si>
    <t>PayDirt</t>
  </si>
  <si>
    <t>Tailings</t>
  </si>
  <si>
    <t>Oil</t>
  </si>
  <si>
    <t>Resources - Fluids</t>
  </si>
  <si>
    <t>Water</t>
  </si>
  <si>
    <t>Aluminium Ore</t>
  </si>
  <si>
    <t>Resources - Ore</t>
  </si>
  <si>
    <t>Coal</t>
  </si>
  <si>
    <t>Copper Ore</t>
  </si>
  <si>
    <t>Diamond Ore</t>
  </si>
  <si>
    <t>Gold Ore</t>
  </si>
  <si>
    <t>Iron Ore</t>
  </si>
  <si>
    <t>Lithium Ore</t>
  </si>
  <si>
    <t>Ruby Ore</t>
  </si>
  <si>
    <t>Silicon Ore</t>
  </si>
  <si>
    <t>Silver Ore</t>
  </si>
  <si>
    <t>Blasted Rock</t>
  </si>
  <si>
    <t>Resources - Rock</t>
  </si>
  <si>
    <t>Crushed Rock</t>
  </si>
  <si>
    <t>Gravel</t>
  </si>
  <si>
    <t>Solid Rock</t>
  </si>
  <si>
    <t>Tree Logs</t>
  </si>
  <si>
    <t>Resources - Wood</t>
  </si>
  <si>
    <t>Drill B100</t>
  </si>
  <si>
    <t>Vehicles - B100 Attachments</t>
  </si>
  <si>
    <t>Grading Bucket B100</t>
  </si>
  <si>
    <t>Ripper B100</t>
  </si>
  <si>
    <t>Standard Bucket B100</t>
  </si>
  <si>
    <t>Tiltrotor B100</t>
  </si>
  <si>
    <t>Trenching Bucket B100</t>
  </si>
  <si>
    <t>Drill B120</t>
  </si>
  <si>
    <t>Vehicles - B120 Attachments</t>
  </si>
  <si>
    <t>Grading Bucket B120</t>
  </si>
  <si>
    <t>Ripper B120</t>
  </si>
  <si>
    <t>Standard Bucket B120</t>
  </si>
  <si>
    <t>Tiltrotor B120</t>
  </si>
  <si>
    <t>Trenching Bucket B120</t>
  </si>
  <si>
    <t>Drill B140</t>
  </si>
  <si>
    <t>Vehicles - B140 Attachments</t>
  </si>
  <si>
    <t>Ripper B140</t>
  </si>
  <si>
    <t>Standard Bucket B140</t>
  </si>
  <si>
    <t>Tiltrotor B140</t>
  </si>
  <si>
    <t>Trenching Bucket B140</t>
  </si>
  <si>
    <t>Chariton DX1000</t>
  </si>
  <si>
    <t>Vehicles - Dozers</t>
  </si>
  <si>
    <t>Chariton DX100A</t>
  </si>
  <si>
    <t>Chariton DX11000</t>
  </si>
  <si>
    <t>Chariton DX900</t>
  </si>
  <si>
    <t>Chariton DX900 6-Way</t>
  </si>
  <si>
    <t>Arvik EX500D</t>
  </si>
  <si>
    <t>Vehicles - Excavators</t>
  </si>
  <si>
    <t>Attila Cable EX200A</t>
  </si>
  <si>
    <t>Attila Cable EX200A1</t>
  </si>
  <si>
    <t>Attila Cable EX300A</t>
  </si>
  <si>
    <t>Attila Cable EX500A</t>
  </si>
  <si>
    <t>Attila EW200A B100</t>
  </si>
  <si>
    <t>Attila EX200A</t>
  </si>
  <si>
    <t>Attila EX300A</t>
  </si>
  <si>
    <t>Attila EX500A</t>
  </si>
  <si>
    <t>Bagger 681</t>
  </si>
  <si>
    <t>Bagger 693</t>
  </si>
  <si>
    <t>Chariton Cable EX2000D</t>
  </si>
  <si>
    <t>Chariton Cable EX4000D</t>
  </si>
  <si>
    <t>Chariton Cable EX8000D</t>
  </si>
  <si>
    <t>Chariton EW200D</t>
  </si>
  <si>
    <t>Chariton EWC200D</t>
  </si>
  <si>
    <t>Chariton EX2000D</t>
  </si>
  <si>
    <t>Chariton EX200A</t>
  </si>
  <si>
    <t>Chariton EX200D</t>
  </si>
  <si>
    <t>Chariton EX200D (Long boom)</t>
  </si>
  <si>
    <t>Chariton EX200D B100</t>
  </si>
  <si>
    <t>Chariton EX300D</t>
  </si>
  <si>
    <t>Chariton EX300D B120</t>
  </si>
  <si>
    <t>Chariton EX4000D</t>
  </si>
  <si>
    <t>Chariton EX4000FS</t>
  </si>
  <si>
    <t>Chariton EX400D (Long boom)</t>
  </si>
  <si>
    <t>Chariton EX500B</t>
  </si>
  <si>
    <t>Chariton EX500D</t>
  </si>
  <si>
    <t>Chariton EX500D B140</t>
  </si>
  <si>
    <t>Chariton EX500FS</t>
  </si>
  <si>
    <t>Chariton EX600D (Long boom)</t>
  </si>
  <si>
    <t>Chariton EX8000D</t>
  </si>
  <si>
    <t>Chariton EX8000FS</t>
  </si>
  <si>
    <t>Legau EW200D Zero Swing</t>
  </si>
  <si>
    <t>Legau EW200D Zero Swing B100</t>
  </si>
  <si>
    <t>Legau EX200D Sero Swing</t>
  </si>
  <si>
    <t>Drone</t>
  </si>
  <si>
    <t>Vehicles - Flying</t>
  </si>
  <si>
    <t>Sandvik S700NG Fuel</t>
  </si>
  <si>
    <t>Vehicles - Fuel Trucks</t>
  </si>
  <si>
    <t>Chariton G150E</t>
  </si>
  <si>
    <t>Vehicles - Graders</t>
  </si>
  <si>
    <t>Chariton G200E</t>
  </si>
  <si>
    <t>Arvik L10</t>
  </si>
  <si>
    <t>Vehicles - Loaders</t>
  </si>
  <si>
    <t>Arvik L10000</t>
  </si>
  <si>
    <t>Arvik L11</t>
  </si>
  <si>
    <t>Arvik L1665</t>
  </si>
  <si>
    <t>Arvik L2335</t>
  </si>
  <si>
    <t>Arvik L8</t>
  </si>
  <si>
    <t>Arvik L8000</t>
  </si>
  <si>
    <t>Arvik L9</t>
  </si>
  <si>
    <t>Emilian L9</t>
  </si>
  <si>
    <t>Fuel (Diesel)</t>
  </si>
  <si>
    <t>Vehicles - Ops</t>
  </si>
  <si>
    <t>Arvik L9 Asphalt Roller</t>
  </si>
  <si>
    <t>Vehicles - Paving</t>
  </si>
  <si>
    <t>Arvik L9 Roller</t>
  </si>
  <si>
    <t>Sandvik AP310 Paver</t>
  </si>
  <si>
    <t>Arvik DX20E</t>
  </si>
  <si>
    <t>Vehicles - Rock Trucks</t>
  </si>
  <si>
    <t>Arvik DX20E No Tailgate</t>
  </si>
  <si>
    <t>Arvik DX40E</t>
  </si>
  <si>
    <t>Arvik DX40E No Tailgate</t>
  </si>
  <si>
    <t>Arvik DX60E</t>
  </si>
  <si>
    <t>Arvik DX60E No Tailgate</t>
  </si>
  <si>
    <t>Arvik HT200E</t>
  </si>
  <si>
    <t>Arvik HT300E</t>
  </si>
  <si>
    <t>Arvik HT400E</t>
  </si>
  <si>
    <t>Emilian DX40E</t>
  </si>
  <si>
    <t>Petworth W389</t>
  </si>
  <si>
    <t>Vehicles - Trucks</t>
  </si>
  <si>
    <t>Sandvik S150 2WD</t>
  </si>
  <si>
    <t>Sandvik S150 4WD</t>
  </si>
  <si>
    <t>Sandvik S700NG</t>
  </si>
  <si>
    <t>Emilian Tunneler E200DR</t>
  </si>
  <si>
    <t>Vehicles - Tunneler</t>
  </si>
  <si>
    <t>Emilian Tunneler E200DS</t>
  </si>
  <si>
    <t>Can Purchase?</t>
  </si>
  <si>
    <t>Can Sell?</t>
  </si>
  <si>
    <t>Notes</t>
  </si>
  <si>
    <t>Yes</t>
  </si>
  <si>
    <t>Steel Beam</t>
  </si>
  <si>
    <t>Materials - Steel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</si>
</sst>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$&quot;#,##0"/>
    <numFmt numFmtId="165" formatCode="&quot;$&quot;#,##0.00"/>
  </numFmts>
  <fonts count="2" x14ac:knownFonts="1">
    <font>
      <sz val="10"/>
      <color rgb="FF000000"/>
      <name val="Arial"/>
      <scheme val="minor"/>
    </font>
    <font>
      <sz val="10"/>
      <color theme="1"/>
      <name val="Arial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164" fontId="1" fillId="0" borderId="0" xfId="0" applyNumberFormat="1" applyFont="1"/>
    <xf numFmtId="10" fontId="1" fillId="0" borderId="0" xfId="0" applyNumberFormat="1" applyFont="1"/>
    <xf numFmtId="165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G522"/>
  <sheetViews>
    <sheetView tabSelected="1" topLeftCell="A376" workbookViewId="0">
      <selection activeCell="I406" sqref="I406"/>
    </sheetView>
  </sheetViews>
  <sheetFormatPr defaultColWidth="12.5703125" defaultRowHeight="15.75" customHeight="1" x14ac:dyDescent="0.2"/>
  <cols>
    <col min="1" max="1" width="26" customWidth="1"/>
    <col min="2" max="2" width="22.85546875" customWidth="1"/>
    <col min="7" max="7" width="15.85546875" bestFit="1" customWidth="1"/>
  </cols>
  <sheetData>
    <row r="1" spans="1:7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2">
      <c r="A2" s="1" t="s">
        <v>7</v>
      </c>
      <c r="B2" s="1" t="s">
        <v>8</v>
      </c>
      <c r="C2" s="2">
        <v>2400</v>
      </c>
      <c r="D2" s="2">
        <f>C2*0.7</f>
        <v>1680</v>
      </c>
      <c r="E2" s="2">
        <f>IF(AND(C2&lt;&gt;"",D2&lt;&gt;""),D2-C2,"")</f>
        <v>-720</v>
      </c>
      <c r="F2" s="3">
        <f>IF(AND(C2&lt;&gt;"",D2&lt;&gt;"",C2&gt;0),(D2-C2)/C2,"")</f>
        <v>-0.3</v>
      </c>
      <c r="G2" s="2">
        <v>2400</v>
      </c>
    </row>
    <row r="3" spans="1:7" x14ac:dyDescent="0.2">
      <c r="A3" s="1" t="s">
        <v>9</v>
      </c>
      <c r="B3" s="1" t="s">
        <v>8</v>
      </c>
      <c r="C3" s="2">
        <v>2400</v>
      </c>
      <c r="D3" s="2">
        <f t="shared" ref="D3:D66" si="0">C3*0.7</f>
        <v>1680</v>
      </c>
      <c r="E3" s="2">
        <f t="shared" ref="E3:E66" si="1">IF(AND(C3&lt;&gt;"",D3&lt;&gt;""),D3-C3,"")</f>
        <v>-720</v>
      </c>
      <c r="F3" s="3">
        <f t="shared" ref="F3:F66" si="2">IF(AND(C3&lt;&gt;"",D3&lt;&gt;"",C3&gt;0),(D3-C3)/C3,"")</f>
        <v>-0.3</v>
      </c>
      <c r="G3" s="2">
        <v>2400</v>
      </c>
    </row>
    <row r="4" spans="1:7" x14ac:dyDescent="0.2">
      <c r="A4" s="1" t="s">
        <v>10</v>
      </c>
      <c r="B4" s="1" t="s">
        <v>8</v>
      </c>
      <c r="C4" s="2">
        <v>800</v>
      </c>
      <c r="D4" s="2">
        <f t="shared" si="0"/>
        <v>560</v>
      </c>
      <c r="E4" s="2">
        <f t="shared" si="1"/>
        <v>-240</v>
      </c>
      <c r="F4" s="3">
        <f t="shared" si="2"/>
        <v>-0.3</v>
      </c>
      <c r="G4" s="2">
        <v>800</v>
      </c>
    </row>
    <row r="5" spans="1:7" x14ac:dyDescent="0.2">
      <c r="A5" s="1" t="s">
        <v>11</v>
      </c>
      <c r="B5" s="1" t="s">
        <v>8</v>
      </c>
      <c r="C5" s="2">
        <v>1400</v>
      </c>
      <c r="D5" s="2">
        <f t="shared" si="0"/>
        <v>979.99999999999989</v>
      </c>
      <c r="E5" s="2">
        <f t="shared" si="1"/>
        <v>-420.00000000000011</v>
      </c>
      <c r="F5" s="3">
        <f t="shared" si="2"/>
        <v>-0.3000000000000001</v>
      </c>
      <c r="G5" s="2">
        <v>1400</v>
      </c>
    </row>
    <row r="6" spans="1:7" x14ac:dyDescent="0.2">
      <c r="A6" s="1" t="s">
        <v>12</v>
      </c>
      <c r="B6" s="1" t="s">
        <v>8</v>
      </c>
      <c r="C6" s="2">
        <v>2000</v>
      </c>
      <c r="D6" s="2">
        <f t="shared" si="0"/>
        <v>1400</v>
      </c>
      <c r="E6" s="2">
        <f t="shared" si="1"/>
        <v>-600</v>
      </c>
      <c r="F6" s="3">
        <f t="shared" si="2"/>
        <v>-0.3</v>
      </c>
      <c r="G6" s="2">
        <v>2000</v>
      </c>
    </row>
    <row r="7" spans="1:7" x14ac:dyDescent="0.2">
      <c r="A7" s="1" t="s">
        <v>13</v>
      </c>
      <c r="B7" s="1" t="s">
        <v>8</v>
      </c>
      <c r="C7" s="2">
        <v>1700</v>
      </c>
      <c r="D7" s="2">
        <f t="shared" si="0"/>
        <v>1190</v>
      </c>
      <c r="E7" s="2">
        <f t="shared" si="1"/>
        <v>-510</v>
      </c>
      <c r="F7" s="3">
        <f t="shared" si="2"/>
        <v>-0.3</v>
      </c>
      <c r="G7" s="2">
        <v>1700</v>
      </c>
    </row>
    <row r="8" spans="1:7" x14ac:dyDescent="0.2">
      <c r="A8" s="1" t="s">
        <v>14</v>
      </c>
      <c r="B8" s="1" t="s">
        <v>8</v>
      </c>
      <c r="C8" s="2">
        <v>1450</v>
      </c>
      <c r="D8" s="2">
        <f t="shared" si="0"/>
        <v>1014.9999999999999</v>
      </c>
      <c r="E8" s="2">
        <f t="shared" si="1"/>
        <v>-435.00000000000011</v>
      </c>
      <c r="F8" s="3">
        <f t="shared" si="2"/>
        <v>-0.3000000000000001</v>
      </c>
      <c r="G8" s="2">
        <v>1450</v>
      </c>
    </row>
    <row r="9" spans="1:7" x14ac:dyDescent="0.2">
      <c r="A9" s="1" t="s">
        <v>15</v>
      </c>
      <c r="B9" s="1" t="s">
        <v>8</v>
      </c>
      <c r="C9" s="2">
        <v>1250</v>
      </c>
      <c r="D9" s="2">
        <f t="shared" si="0"/>
        <v>875</v>
      </c>
      <c r="E9" s="2">
        <f t="shared" si="1"/>
        <v>-375</v>
      </c>
      <c r="F9" s="3">
        <f t="shared" si="2"/>
        <v>-0.3</v>
      </c>
      <c r="G9" s="2">
        <v>1250</v>
      </c>
    </row>
    <row r="10" spans="1:7" x14ac:dyDescent="0.2">
      <c r="A10" s="1" t="s">
        <v>16</v>
      </c>
      <c r="B10" s="1" t="s">
        <v>8</v>
      </c>
      <c r="C10" s="2">
        <v>1400</v>
      </c>
      <c r="D10" s="2">
        <f t="shared" si="0"/>
        <v>979.99999999999989</v>
      </c>
      <c r="E10" s="2">
        <f t="shared" si="1"/>
        <v>-420.00000000000011</v>
      </c>
      <c r="F10" s="3">
        <f t="shared" si="2"/>
        <v>-0.3000000000000001</v>
      </c>
      <c r="G10" s="2">
        <v>1400</v>
      </c>
    </row>
    <row r="11" spans="1:7" x14ac:dyDescent="0.2">
      <c r="A11" s="1" t="s">
        <v>17</v>
      </c>
      <c r="B11" s="1" t="s">
        <v>8</v>
      </c>
      <c r="C11" s="2">
        <v>1400</v>
      </c>
      <c r="D11" s="2">
        <f t="shared" si="0"/>
        <v>979.99999999999989</v>
      </c>
      <c r="E11" s="2">
        <f t="shared" si="1"/>
        <v>-420.00000000000011</v>
      </c>
      <c r="F11" s="3">
        <f t="shared" si="2"/>
        <v>-0.3000000000000001</v>
      </c>
      <c r="G11" s="2">
        <v>1400</v>
      </c>
    </row>
    <row r="12" spans="1:7" x14ac:dyDescent="0.2">
      <c r="A12" s="1" t="s">
        <v>18</v>
      </c>
      <c r="B12" s="1" t="s">
        <v>8</v>
      </c>
      <c r="C12" s="2">
        <v>1400</v>
      </c>
      <c r="D12" s="2">
        <f t="shared" si="0"/>
        <v>979.99999999999989</v>
      </c>
      <c r="E12" s="2">
        <f t="shared" si="1"/>
        <v>-420.00000000000011</v>
      </c>
      <c r="F12" s="3">
        <f t="shared" si="2"/>
        <v>-0.3000000000000001</v>
      </c>
      <c r="G12" s="2">
        <v>1400</v>
      </c>
    </row>
    <row r="13" spans="1:7" x14ac:dyDescent="0.2">
      <c r="A13" s="1" t="s">
        <v>19</v>
      </c>
      <c r="B13" s="1" t="s">
        <v>8</v>
      </c>
      <c r="C13" s="2">
        <v>1400</v>
      </c>
      <c r="D13" s="2">
        <f t="shared" si="0"/>
        <v>979.99999999999989</v>
      </c>
      <c r="E13" s="2">
        <f t="shared" si="1"/>
        <v>-420.00000000000011</v>
      </c>
      <c r="F13" s="3">
        <f t="shared" si="2"/>
        <v>-0.3000000000000001</v>
      </c>
      <c r="G13" s="2">
        <v>1400</v>
      </c>
    </row>
    <row r="14" spans="1:7" x14ac:dyDescent="0.2">
      <c r="A14" s="1" t="s">
        <v>20</v>
      </c>
      <c r="B14" s="1" t="s">
        <v>8</v>
      </c>
      <c r="C14" s="2">
        <v>1400</v>
      </c>
      <c r="D14" s="2">
        <f t="shared" si="0"/>
        <v>979.99999999999989</v>
      </c>
      <c r="E14" s="2">
        <f t="shared" si="1"/>
        <v>-420.00000000000011</v>
      </c>
      <c r="F14" s="3">
        <f t="shared" si="2"/>
        <v>-0.3000000000000001</v>
      </c>
      <c r="G14" s="2">
        <v>1400</v>
      </c>
    </row>
    <row r="15" spans="1:7" x14ac:dyDescent="0.2">
      <c r="A15" s="1" t="s">
        <v>21</v>
      </c>
      <c r="B15" s="1" t="s">
        <v>22</v>
      </c>
      <c r="C15" s="2">
        <v>30</v>
      </c>
      <c r="D15" s="2">
        <f t="shared" si="0"/>
        <v>21</v>
      </c>
      <c r="E15" s="2">
        <f t="shared" si="1"/>
        <v>-9</v>
      </c>
      <c r="F15" s="3">
        <f t="shared" si="2"/>
        <v>-0.3</v>
      </c>
      <c r="G15" s="2">
        <v>30</v>
      </c>
    </row>
    <row r="16" spans="1:7" x14ac:dyDescent="0.2">
      <c r="A16" s="1" t="s">
        <v>23</v>
      </c>
      <c r="B16" s="1" t="s">
        <v>22</v>
      </c>
      <c r="C16" s="2">
        <v>70</v>
      </c>
      <c r="D16" s="2">
        <f t="shared" si="0"/>
        <v>49</v>
      </c>
      <c r="E16" s="2">
        <f t="shared" si="1"/>
        <v>-21</v>
      </c>
      <c r="F16" s="3">
        <f t="shared" si="2"/>
        <v>-0.3</v>
      </c>
      <c r="G16" s="2">
        <v>70</v>
      </c>
    </row>
    <row r="17" spans="1:7" x14ac:dyDescent="0.2">
      <c r="A17" s="1" t="s">
        <v>24</v>
      </c>
      <c r="B17" s="1" t="s">
        <v>22</v>
      </c>
      <c r="C17" s="2">
        <v>70</v>
      </c>
      <c r="D17" s="2">
        <f t="shared" si="0"/>
        <v>49</v>
      </c>
      <c r="E17" s="2">
        <f t="shared" si="1"/>
        <v>-21</v>
      </c>
      <c r="F17" s="3">
        <f t="shared" si="2"/>
        <v>-0.3</v>
      </c>
      <c r="G17" s="2">
        <v>70</v>
      </c>
    </row>
    <row r="18" spans="1:7" x14ac:dyDescent="0.2">
      <c r="A18" s="1" t="s">
        <v>25</v>
      </c>
      <c r="B18" s="1" t="s">
        <v>22</v>
      </c>
      <c r="C18" s="2">
        <v>40</v>
      </c>
      <c r="D18" s="2">
        <f t="shared" si="0"/>
        <v>28</v>
      </c>
      <c r="E18" s="2">
        <f t="shared" si="1"/>
        <v>-12</v>
      </c>
      <c r="F18" s="3">
        <f t="shared" si="2"/>
        <v>-0.3</v>
      </c>
      <c r="G18" s="2">
        <v>40</v>
      </c>
    </row>
    <row r="19" spans="1:7" x14ac:dyDescent="0.2">
      <c r="A19" s="1" t="s">
        <v>26</v>
      </c>
      <c r="B19" s="1" t="s">
        <v>22</v>
      </c>
      <c r="C19" s="2">
        <v>100</v>
      </c>
      <c r="D19" s="2">
        <f t="shared" si="0"/>
        <v>70</v>
      </c>
      <c r="E19" s="2">
        <f t="shared" si="1"/>
        <v>-30</v>
      </c>
      <c r="F19" s="3">
        <f t="shared" si="2"/>
        <v>-0.3</v>
      </c>
      <c r="G19" s="2">
        <v>100</v>
      </c>
    </row>
    <row r="20" spans="1:7" x14ac:dyDescent="0.2">
      <c r="A20" s="1" t="s">
        <v>27</v>
      </c>
      <c r="B20" s="1" t="s">
        <v>22</v>
      </c>
      <c r="C20" s="2">
        <v>150</v>
      </c>
      <c r="D20" s="2">
        <f t="shared" si="0"/>
        <v>105</v>
      </c>
      <c r="E20" s="2">
        <f t="shared" si="1"/>
        <v>-45</v>
      </c>
      <c r="F20" s="3">
        <f t="shared" si="2"/>
        <v>-0.3</v>
      </c>
      <c r="G20" s="2">
        <v>150</v>
      </c>
    </row>
    <row r="21" spans="1:7" x14ac:dyDescent="0.2">
      <c r="A21" s="1" t="s">
        <v>28</v>
      </c>
      <c r="B21" s="1" t="s">
        <v>22</v>
      </c>
      <c r="C21" s="2">
        <v>15</v>
      </c>
      <c r="D21" s="2">
        <f t="shared" si="0"/>
        <v>10.5</v>
      </c>
      <c r="E21" s="2">
        <f t="shared" si="1"/>
        <v>-4.5</v>
      </c>
      <c r="F21" s="3">
        <f t="shared" si="2"/>
        <v>-0.3</v>
      </c>
      <c r="G21" s="2">
        <v>15</v>
      </c>
    </row>
    <row r="22" spans="1:7" x14ac:dyDescent="0.2">
      <c r="A22" s="1" t="s">
        <v>29</v>
      </c>
      <c r="B22" s="1" t="s">
        <v>22</v>
      </c>
      <c r="C22" s="2">
        <v>17</v>
      </c>
      <c r="D22" s="2">
        <f t="shared" si="0"/>
        <v>11.899999999999999</v>
      </c>
      <c r="E22" s="2">
        <f t="shared" si="1"/>
        <v>-5.1000000000000014</v>
      </c>
      <c r="F22" s="3">
        <f t="shared" si="2"/>
        <v>-0.3000000000000001</v>
      </c>
      <c r="G22" s="2">
        <v>17</v>
      </c>
    </row>
    <row r="23" spans="1:7" x14ac:dyDescent="0.2">
      <c r="A23" s="1" t="s">
        <v>30</v>
      </c>
      <c r="B23" s="1" t="s">
        <v>22</v>
      </c>
      <c r="C23" s="2">
        <v>540</v>
      </c>
      <c r="D23" s="2">
        <f t="shared" si="0"/>
        <v>378</v>
      </c>
      <c r="E23" s="2">
        <f t="shared" si="1"/>
        <v>-162</v>
      </c>
      <c r="F23" s="3">
        <f t="shared" si="2"/>
        <v>-0.3</v>
      </c>
      <c r="G23" s="2">
        <v>540</v>
      </c>
    </row>
    <row r="24" spans="1:7" x14ac:dyDescent="0.2">
      <c r="A24" s="1" t="s">
        <v>31</v>
      </c>
      <c r="B24" s="1" t="s">
        <v>22</v>
      </c>
      <c r="C24" s="2">
        <v>350</v>
      </c>
      <c r="D24" s="2">
        <f t="shared" si="0"/>
        <v>244.99999999999997</v>
      </c>
      <c r="E24" s="2">
        <f t="shared" si="1"/>
        <v>-105.00000000000003</v>
      </c>
      <c r="F24" s="3">
        <f t="shared" si="2"/>
        <v>-0.3000000000000001</v>
      </c>
      <c r="G24" s="2">
        <v>350</v>
      </c>
    </row>
    <row r="25" spans="1:7" x14ac:dyDescent="0.2">
      <c r="A25" s="1" t="s">
        <v>32</v>
      </c>
      <c r="B25" s="1" t="s">
        <v>22</v>
      </c>
      <c r="C25" s="2">
        <v>85</v>
      </c>
      <c r="D25" s="2">
        <f t="shared" si="0"/>
        <v>59.499999999999993</v>
      </c>
      <c r="E25" s="2">
        <f t="shared" si="1"/>
        <v>-25.500000000000007</v>
      </c>
      <c r="F25" s="3">
        <f t="shared" si="2"/>
        <v>-0.3000000000000001</v>
      </c>
      <c r="G25" s="2">
        <v>85</v>
      </c>
    </row>
    <row r="26" spans="1:7" x14ac:dyDescent="0.2">
      <c r="A26" s="1" t="s">
        <v>33</v>
      </c>
      <c r="B26" s="1" t="s">
        <v>22</v>
      </c>
      <c r="C26" s="2">
        <v>1200</v>
      </c>
      <c r="D26" s="2">
        <f t="shared" si="0"/>
        <v>840</v>
      </c>
      <c r="E26" s="2">
        <f t="shared" si="1"/>
        <v>-360</v>
      </c>
      <c r="F26" s="3">
        <f t="shared" si="2"/>
        <v>-0.3</v>
      </c>
      <c r="G26" s="2">
        <v>1200</v>
      </c>
    </row>
    <row r="27" spans="1:7" x14ac:dyDescent="0.2">
      <c r="A27" s="1" t="s">
        <v>34</v>
      </c>
      <c r="B27" s="1" t="s">
        <v>22</v>
      </c>
      <c r="C27" s="2">
        <v>85</v>
      </c>
      <c r="D27" s="2">
        <f t="shared" si="0"/>
        <v>59.499999999999993</v>
      </c>
      <c r="E27" s="2">
        <f t="shared" si="1"/>
        <v>-25.500000000000007</v>
      </c>
      <c r="F27" s="3">
        <f t="shared" si="2"/>
        <v>-0.3000000000000001</v>
      </c>
      <c r="G27" s="2">
        <v>85</v>
      </c>
    </row>
    <row r="28" spans="1:7" x14ac:dyDescent="0.2">
      <c r="A28" s="1" t="s">
        <v>35</v>
      </c>
      <c r="B28" s="1" t="s">
        <v>22</v>
      </c>
      <c r="C28" s="2">
        <v>70</v>
      </c>
      <c r="D28" s="2">
        <f t="shared" si="0"/>
        <v>49</v>
      </c>
      <c r="E28" s="2">
        <f t="shared" si="1"/>
        <v>-21</v>
      </c>
      <c r="F28" s="3">
        <f t="shared" si="2"/>
        <v>-0.3</v>
      </c>
      <c r="G28" s="2">
        <v>70</v>
      </c>
    </row>
    <row r="29" spans="1:7" x14ac:dyDescent="0.2">
      <c r="A29" s="1" t="s">
        <v>36</v>
      </c>
      <c r="B29" s="1" t="s">
        <v>22</v>
      </c>
      <c r="C29" s="2">
        <v>400</v>
      </c>
      <c r="D29" s="2">
        <f t="shared" si="0"/>
        <v>280</v>
      </c>
      <c r="E29" s="2">
        <f t="shared" si="1"/>
        <v>-120</v>
      </c>
      <c r="F29" s="3">
        <f t="shared" si="2"/>
        <v>-0.3</v>
      </c>
      <c r="G29" s="2">
        <v>400</v>
      </c>
    </row>
    <row r="30" spans="1:7" x14ac:dyDescent="0.2">
      <c r="A30" s="1" t="s">
        <v>37</v>
      </c>
      <c r="B30" s="1" t="s">
        <v>22</v>
      </c>
      <c r="C30" s="2">
        <v>40</v>
      </c>
      <c r="D30" s="2">
        <f t="shared" si="0"/>
        <v>28</v>
      </c>
      <c r="E30" s="2">
        <f t="shared" si="1"/>
        <v>-12</v>
      </c>
      <c r="F30" s="3">
        <f t="shared" si="2"/>
        <v>-0.3</v>
      </c>
      <c r="G30" s="2">
        <v>40</v>
      </c>
    </row>
    <row r="31" spans="1:7" x14ac:dyDescent="0.2">
      <c r="A31" s="1" t="s">
        <v>38</v>
      </c>
      <c r="B31" s="1" t="s">
        <v>22</v>
      </c>
      <c r="C31" s="2">
        <v>320</v>
      </c>
      <c r="D31" s="2">
        <f t="shared" si="0"/>
        <v>224</v>
      </c>
      <c r="E31" s="2">
        <f t="shared" si="1"/>
        <v>-96</v>
      </c>
      <c r="F31" s="3">
        <f t="shared" si="2"/>
        <v>-0.3</v>
      </c>
      <c r="G31" s="2">
        <v>320</v>
      </c>
    </row>
    <row r="32" spans="1:7" x14ac:dyDescent="0.2">
      <c r="A32" s="1" t="s">
        <v>39</v>
      </c>
      <c r="B32" s="1" t="s">
        <v>22</v>
      </c>
      <c r="C32" s="2">
        <v>350</v>
      </c>
      <c r="D32" s="2">
        <f t="shared" si="0"/>
        <v>244.99999999999997</v>
      </c>
      <c r="E32" s="2">
        <f t="shared" si="1"/>
        <v>-105.00000000000003</v>
      </c>
      <c r="F32" s="3">
        <f t="shared" si="2"/>
        <v>-0.3000000000000001</v>
      </c>
      <c r="G32" s="2">
        <v>350</v>
      </c>
    </row>
    <row r="33" spans="1:7" x14ac:dyDescent="0.2">
      <c r="A33" s="1" t="s">
        <v>40</v>
      </c>
      <c r="B33" s="1" t="s">
        <v>22</v>
      </c>
      <c r="C33" s="2">
        <v>330</v>
      </c>
      <c r="D33" s="2">
        <f t="shared" si="0"/>
        <v>230.99999999999997</v>
      </c>
      <c r="E33" s="2">
        <f t="shared" si="1"/>
        <v>-99.000000000000028</v>
      </c>
      <c r="F33" s="3">
        <f t="shared" si="2"/>
        <v>-0.3000000000000001</v>
      </c>
      <c r="G33" s="2">
        <v>330</v>
      </c>
    </row>
    <row r="34" spans="1:7" x14ac:dyDescent="0.2">
      <c r="A34" s="1" t="s">
        <v>41</v>
      </c>
      <c r="B34" s="1" t="s">
        <v>22</v>
      </c>
      <c r="C34" s="2">
        <v>85</v>
      </c>
      <c r="D34" s="2">
        <f t="shared" si="0"/>
        <v>59.499999999999993</v>
      </c>
      <c r="E34" s="2">
        <f t="shared" si="1"/>
        <v>-25.500000000000007</v>
      </c>
      <c r="F34" s="3">
        <f t="shared" si="2"/>
        <v>-0.3000000000000001</v>
      </c>
      <c r="G34" s="2">
        <v>85</v>
      </c>
    </row>
    <row r="35" spans="1:7" x14ac:dyDescent="0.2">
      <c r="A35" s="1" t="s">
        <v>42</v>
      </c>
      <c r="B35" s="1" t="s">
        <v>22</v>
      </c>
      <c r="C35" s="2">
        <v>70</v>
      </c>
      <c r="D35" s="2">
        <f t="shared" si="0"/>
        <v>49</v>
      </c>
      <c r="E35" s="2">
        <f t="shared" si="1"/>
        <v>-21</v>
      </c>
      <c r="F35" s="3">
        <f t="shared" si="2"/>
        <v>-0.3</v>
      </c>
      <c r="G35" s="2">
        <v>70</v>
      </c>
    </row>
    <row r="36" spans="1:7" x14ac:dyDescent="0.2">
      <c r="A36" s="1" t="s">
        <v>43</v>
      </c>
      <c r="B36" s="1" t="s">
        <v>22</v>
      </c>
      <c r="C36" s="2">
        <v>180</v>
      </c>
      <c r="D36" s="2">
        <f t="shared" si="0"/>
        <v>125.99999999999999</v>
      </c>
      <c r="E36" s="2">
        <f t="shared" si="1"/>
        <v>-54.000000000000014</v>
      </c>
      <c r="F36" s="3">
        <f t="shared" si="2"/>
        <v>-0.3000000000000001</v>
      </c>
      <c r="G36" s="2">
        <v>180</v>
      </c>
    </row>
    <row r="37" spans="1:7" x14ac:dyDescent="0.2">
      <c r="A37" s="1" t="s">
        <v>44</v>
      </c>
      <c r="B37" s="1" t="s">
        <v>22</v>
      </c>
      <c r="C37" s="2">
        <v>99</v>
      </c>
      <c r="D37" s="2">
        <f t="shared" si="0"/>
        <v>69.3</v>
      </c>
      <c r="E37" s="2">
        <f t="shared" si="1"/>
        <v>-29.700000000000003</v>
      </c>
      <c r="F37" s="3">
        <f t="shared" si="2"/>
        <v>-0.30000000000000004</v>
      </c>
      <c r="G37" s="2">
        <v>99</v>
      </c>
    </row>
    <row r="38" spans="1:7" x14ac:dyDescent="0.2">
      <c r="A38" s="1" t="s">
        <v>45</v>
      </c>
      <c r="B38" s="1" t="s">
        <v>22</v>
      </c>
      <c r="C38" s="2">
        <v>540</v>
      </c>
      <c r="D38" s="2">
        <f t="shared" si="0"/>
        <v>378</v>
      </c>
      <c r="E38" s="2">
        <f t="shared" si="1"/>
        <v>-162</v>
      </c>
      <c r="F38" s="3">
        <f t="shared" si="2"/>
        <v>-0.3</v>
      </c>
      <c r="G38" s="2">
        <v>540</v>
      </c>
    </row>
    <row r="39" spans="1:7" x14ac:dyDescent="0.2">
      <c r="A39" s="1" t="s">
        <v>46</v>
      </c>
      <c r="B39" s="1" t="s">
        <v>22</v>
      </c>
      <c r="C39" s="2">
        <v>98</v>
      </c>
      <c r="D39" s="2">
        <f t="shared" si="0"/>
        <v>68.599999999999994</v>
      </c>
      <c r="E39" s="2">
        <f t="shared" si="1"/>
        <v>-29.400000000000006</v>
      </c>
      <c r="F39" s="3">
        <f t="shared" si="2"/>
        <v>-0.30000000000000004</v>
      </c>
      <c r="G39" s="2">
        <v>98</v>
      </c>
    </row>
    <row r="40" spans="1:7" x14ac:dyDescent="0.2">
      <c r="A40" s="1" t="s">
        <v>47</v>
      </c>
      <c r="B40" s="1" t="s">
        <v>22</v>
      </c>
      <c r="C40" s="2">
        <v>20</v>
      </c>
      <c r="D40" s="2">
        <f t="shared" si="0"/>
        <v>14</v>
      </c>
      <c r="E40" s="2">
        <f t="shared" si="1"/>
        <v>-6</v>
      </c>
      <c r="F40" s="3">
        <f t="shared" si="2"/>
        <v>-0.3</v>
      </c>
      <c r="G40" s="2">
        <v>20</v>
      </c>
    </row>
    <row r="41" spans="1:7" x14ac:dyDescent="0.2">
      <c r="A41" s="1" t="s">
        <v>48</v>
      </c>
      <c r="B41" s="1" t="s">
        <v>22</v>
      </c>
      <c r="C41" s="2">
        <v>20</v>
      </c>
      <c r="D41" s="2">
        <f t="shared" si="0"/>
        <v>14</v>
      </c>
      <c r="E41" s="2">
        <f t="shared" si="1"/>
        <v>-6</v>
      </c>
      <c r="F41" s="3">
        <f t="shared" si="2"/>
        <v>-0.3</v>
      </c>
      <c r="G41" s="2">
        <v>20</v>
      </c>
    </row>
    <row r="42" spans="1:7" x14ac:dyDescent="0.2">
      <c r="A42" s="1" t="s">
        <v>49</v>
      </c>
      <c r="B42" s="1" t="s">
        <v>22</v>
      </c>
      <c r="C42" s="2">
        <v>30</v>
      </c>
      <c r="D42" s="2">
        <f t="shared" si="0"/>
        <v>21</v>
      </c>
      <c r="E42" s="2">
        <f t="shared" si="1"/>
        <v>-9</v>
      </c>
      <c r="F42" s="3">
        <f t="shared" si="2"/>
        <v>-0.3</v>
      </c>
      <c r="G42" s="2">
        <v>30</v>
      </c>
    </row>
    <row r="43" spans="1:7" x14ac:dyDescent="0.2">
      <c r="A43" s="1" t="s">
        <v>50</v>
      </c>
      <c r="B43" s="1" t="s">
        <v>22</v>
      </c>
      <c r="C43" s="2">
        <v>35</v>
      </c>
      <c r="D43" s="2">
        <f t="shared" si="0"/>
        <v>24.5</v>
      </c>
      <c r="E43" s="2">
        <f t="shared" si="1"/>
        <v>-10.5</v>
      </c>
      <c r="F43" s="3">
        <f t="shared" si="2"/>
        <v>-0.3</v>
      </c>
      <c r="G43" s="2">
        <v>35</v>
      </c>
    </row>
    <row r="44" spans="1:7" x14ac:dyDescent="0.2">
      <c r="A44" s="1" t="s">
        <v>51</v>
      </c>
      <c r="B44" s="1" t="s">
        <v>22</v>
      </c>
      <c r="C44" s="2">
        <v>160</v>
      </c>
      <c r="D44" s="2">
        <f t="shared" si="0"/>
        <v>112</v>
      </c>
      <c r="E44" s="2">
        <f t="shared" si="1"/>
        <v>-48</v>
      </c>
      <c r="F44" s="3">
        <f t="shared" si="2"/>
        <v>-0.3</v>
      </c>
      <c r="G44" s="2">
        <v>160</v>
      </c>
    </row>
    <row r="45" spans="1:7" x14ac:dyDescent="0.2">
      <c r="A45" s="1" t="s">
        <v>52</v>
      </c>
      <c r="B45" s="1" t="s">
        <v>22</v>
      </c>
      <c r="C45" s="2">
        <v>850</v>
      </c>
      <c r="D45" s="2">
        <f t="shared" si="0"/>
        <v>595</v>
      </c>
      <c r="E45" s="2">
        <f t="shared" si="1"/>
        <v>-255</v>
      </c>
      <c r="F45" s="3">
        <f t="shared" si="2"/>
        <v>-0.3</v>
      </c>
      <c r="G45" s="2">
        <v>850</v>
      </c>
    </row>
    <row r="46" spans="1:7" x14ac:dyDescent="0.2">
      <c r="A46" s="1" t="s">
        <v>53</v>
      </c>
      <c r="B46" s="1" t="s">
        <v>22</v>
      </c>
      <c r="C46" s="2">
        <v>1000</v>
      </c>
      <c r="D46" s="2">
        <f t="shared" si="0"/>
        <v>700</v>
      </c>
      <c r="E46" s="2">
        <f t="shared" si="1"/>
        <v>-300</v>
      </c>
      <c r="F46" s="3">
        <f t="shared" si="2"/>
        <v>-0.3</v>
      </c>
      <c r="G46" s="2">
        <v>1000</v>
      </c>
    </row>
    <row r="47" spans="1:7" x14ac:dyDescent="0.2">
      <c r="A47" s="1" t="s">
        <v>54</v>
      </c>
      <c r="B47" s="1" t="s">
        <v>22</v>
      </c>
      <c r="C47" s="2">
        <v>130</v>
      </c>
      <c r="D47" s="2">
        <f t="shared" si="0"/>
        <v>91</v>
      </c>
      <c r="E47" s="2">
        <f t="shared" si="1"/>
        <v>-39</v>
      </c>
      <c r="F47" s="3">
        <f t="shared" si="2"/>
        <v>-0.3</v>
      </c>
      <c r="G47" s="2">
        <v>130</v>
      </c>
    </row>
    <row r="48" spans="1:7" x14ac:dyDescent="0.2">
      <c r="A48" s="1" t="s">
        <v>55</v>
      </c>
      <c r="B48" s="1" t="s">
        <v>22</v>
      </c>
      <c r="C48" s="2">
        <v>500</v>
      </c>
      <c r="D48" s="2">
        <f t="shared" si="0"/>
        <v>350</v>
      </c>
      <c r="E48" s="2">
        <f t="shared" si="1"/>
        <v>-150</v>
      </c>
      <c r="F48" s="3">
        <f t="shared" si="2"/>
        <v>-0.3</v>
      </c>
      <c r="G48" s="2">
        <v>500</v>
      </c>
    </row>
    <row r="49" spans="1:7" x14ac:dyDescent="0.2">
      <c r="A49" s="1" t="s">
        <v>56</v>
      </c>
      <c r="B49" s="1" t="s">
        <v>22</v>
      </c>
      <c r="C49" s="2">
        <v>500</v>
      </c>
      <c r="D49" s="2">
        <f t="shared" si="0"/>
        <v>350</v>
      </c>
      <c r="E49" s="2">
        <f t="shared" si="1"/>
        <v>-150</v>
      </c>
      <c r="F49" s="3">
        <f t="shared" si="2"/>
        <v>-0.3</v>
      </c>
      <c r="G49" s="2">
        <v>500</v>
      </c>
    </row>
    <row r="50" spans="1:7" x14ac:dyDescent="0.2">
      <c r="A50" s="1" t="s">
        <v>57</v>
      </c>
      <c r="B50" s="1" t="s">
        <v>22</v>
      </c>
      <c r="C50" s="2">
        <v>500</v>
      </c>
      <c r="D50" s="2">
        <f t="shared" si="0"/>
        <v>350</v>
      </c>
      <c r="E50" s="2">
        <f t="shared" si="1"/>
        <v>-150</v>
      </c>
      <c r="F50" s="3">
        <f t="shared" si="2"/>
        <v>-0.3</v>
      </c>
      <c r="G50" s="2">
        <v>500</v>
      </c>
    </row>
    <row r="51" spans="1:7" x14ac:dyDescent="0.2">
      <c r="A51" s="1" t="s">
        <v>58</v>
      </c>
      <c r="B51" s="1" t="s">
        <v>22</v>
      </c>
      <c r="C51" s="2">
        <v>400</v>
      </c>
      <c r="D51" s="2">
        <f t="shared" si="0"/>
        <v>280</v>
      </c>
      <c r="E51" s="2">
        <f t="shared" si="1"/>
        <v>-120</v>
      </c>
      <c r="F51" s="3">
        <f t="shared" si="2"/>
        <v>-0.3</v>
      </c>
      <c r="G51" s="2">
        <v>400</v>
      </c>
    </row>
    <row r="52" spans="1:7" x14ac:dyDescent="0.2">
      <c r="A52" s="1" t="s">
        <v>59</v>
      </c>
      <c r="B52" s="1" t="s">
        <v>22</v>
      </c>
      <c r="C52" s="2">
        <v>375</v>
      </c>
      <c r="D52" s="2">
        <f t="shared" si="0"/>
        <v>262.5</v>
      </c>
      <c r="E52" s="2">
        <f t="shared" si="1"/>
        <v>-112.5</v>
      </c>
      <c r="F52" s="3">
        <f t="shared" si="2"/>
        <v>-0.3</v>
      </c>
      <c r="G52" s="2">
        <v>375</v>
      </c>
    </row>
    <row r="53" spans="1:7" x14ac:dyDescent="0.2">
      <c r="A53" s="1" t="s">
        <v>60</v>
      </c>
      <c r="B53" s="1" t="s">
        <v>22</v>
      </c>
      <c r="C53" s="2">
        <v>25</v>
      </c>
      <c r="D53" s="2">
        <f t="shared" si="0"/>
        <v>17.5</v>
      </c>
      <c r="E53" s="2">
        <f t="shared" si="1"/>
        <v>-7.5</v>
      </c>
      <c r="F53" s="3">
        <f t="shared" si="2"/>
        <v>-0.3</v>
      </c>
      <c r="G53" s="2">
        <v>25</v>
      </c>
    </row>
    <row r="54" spans="1:7" x14ac:dyDescent="0.2">
      <c r="A54" s="1" t="s">
        <v>61</v>
      </c>
      <c r="B54" s="1" t="s">
        <v>22</v>
      </c>
      <c r="C54" s="2">
        <v>60</v>
      </c>
      <c r="D54" s="2">
        <f t="shared" si="0"/>
        <v>42</v>
      </c>
      <c r="E54" s="2">
        <f t="shared" si="1"/>
        <v>-18</v>
      </c>
      <c r="F54" s="3">
        <f t="shared" si="2"/>
        <v>-0.3</v>
      </c>
      <c r="G54" s="2">
        <v>60</v>
      </c>
    </row>
    <row r="55" spans="1:7" x14ac:dyDescent="0.2">
      <c r="A55" s="1" t="s">
        <v>62</v>
      </c>
      <c r="B55" s="1" t="s">
        <v>22</v>
      </c>
      <c r="C55" s="2">
        <v>70</v>
      </c>
      <c r="D55" s="2">
        <f t="shared" si="0"/>
        <v>49</v>
      </c>
      <c r="E55" s="2">
        <f t="shared" si="1"/>
        <v>-21</v>
      </c>
      <c r="F55" s="3">
        <f t="shared" si="2"/>
        <v>-0.3</v>
      </c>
      <c r="G55" s="2">
        <v>70</v>
      </c>
    </row>
    <row r="56" spans="1:7" x14ac:dyDescent="0.2">
      <c r="A56" s="1" t="s">
        <v>63</v>
      </c>
      <c r="B56" s="1" t="s">
        <v>22</v>
      </c>
      <c r="C56" s="2">
        <v>325</v>
      </c>
      <c r="D56" s="2">
        <f t="shared" si="0"/>
        <v>227.49999999999997</v>
      </c>
      <c r="E56" s="2">
        <f t="shared" si="1"/>
        <v>-97.500000000000028</v>
      </c>
      <c r="F56" s="3">
        <f t="shared" si="2"/>
        <v>-0.3000000000000001</v>
      </c>
      <c r="G56" s="2">
        <v>325</v>
      </c>
    </row>
    <row r="57" spans="1:7" x14ac:dyDescent="0.2">
      <c r="A57" s="1" t="s">
        <v>64</v>
      </c>
      <c r="B57" s="1" t="s">
        <v>22</v>
      </c>
      <c r="C57" s="2">
        <v>260</v>
      </c>
      <c r="D57" s="2">
        <f t="shared" si="0"/>
        <v>182</v>
      </c>
      <c r="E57" s="2">
        <f t="shared" si="1"/>
        <v>-78</v>
      </c>
      <c r="F57" s="3">
        <f t="shared" si="2"/>
        <v>-0.3</v>
      </c>
      <c r="G57" s="2">
        <v>260</v>
      </c>
    </row>
    <row r="58" spans="1:7" x14ac:dyDescent="0.2">
      <c r="A58" s="1" t="s">
        <v>65</v>
      </c>
      <c r="B58" s="1" t="s">
        <v>22</v>
      </c>
      <c r="C58" s="2">
        <v>125</v>
      </c>
      <c r="D58" s="2">
        <f t="shared" si="0"/>
        <v>87.5</v>
      </c>
      <c r="E58" s="2">
        <f t="shared" si="1"/>
        <v>-37.5</v>
      </c>
      <c r="F58" s="3">
        <f t="shared" si="2"/>
        <v>-0.3</v>
      </c>
      <c r="G58" s="2">
        <v>125</v>
      </c>
    </row>
    <row r="59" spans="1:7" x14ac:dyDescent="0.2">
      <c r="A59" s="1" t="s">
        <v>66</v>
      </c>
      <c r="B59" s="1" t="s">
        <v>22</v>
      </c>
      <c r="C59" s="2">
        <v>110</v>
      </c>
      <c r="D59" s="2">
        <f t="shared" si="0"/>
        <v>77</v>
      </c>
      <c r="E59" s="2">
        <f t="shared" si="1"/>
        <v>-33</v>
      </c>
      <c r="F59" s="3">
        <f t="shared" si="2"/>
        <v>-0.3</v>
      </c>
      <c r="G59" s="2">
        <v>110</v>
      </c>
    </row>
    <row r="60" spans="1:7" x14ac:dyDescent="0.2">
      <c r="A60" s="1" t="s">
        <v>67</v>
      </c>
      <c r="B60" s="1" t="s">
        <v>22</v>
      </c>
      <c r="C60" s="2">
        <v>85</v>
      </c>
      <c r="D60" s="2">
        <f t="shared" si="0"/>
        <v>59.499999999999993</v>
      </c>
      <c r="E60" s="2">
        <f t="shared" si="1"/>
        <v>-25.500000000000007</v>
      </c>
      <c r="F60" s="3">
        <f t="shared" si="2"/>
        <v>-0.3000000000000001</v>
      </c>
      <c r="G60" s="2">
        <v>85</v>
      </c>
    </row>
    <row r="61" spans="1:7" x14ac:dyDescent="0.2">
      <c r="A61" s="1" t="s">
        <v>68</v>
      </c>
      <c r="B61" s="1" t="s">
        <v>22</v>
      </c>
      <c r="C61" s="2">
        <v>30</v>
      </c>
      <c r="D61" s="2">
        <f t="shared" si="0"/>
        <v>21</v>
      </c>
      <c r="E61" s="2">
        <f t="shared" si="1"/>
        <v>-9</v>
      </c>
      <c r="F61" s="3">
        <f t="shared" si="2"/>
        <v>-0.3</v>
      </c>
      <c r="G61" s="2">
        <v>30</v>
      </c>
    </row>
    <row r="62" spans="1:7" x14ac:dyDescent="0.2">
      <c r="A62" s="1" t="s">
        <v>69</v>
      </c>
      <c r="B62" s="1" t="s">
        <v>22</v>
      </c>
      <c r="C62" s="2">
        <v>30</v>
      </c>
      <c r="D62" s="2">
        <f t="shared" si="0"/>
        <v>21</v>
      </c>
      <c r="E62" s="2">
        <f t="shared" si="1"/>
        <v>-9</v>
      </c>
      <c r="F62" s="3">
        <f t="shared" si="2"/>
        <v>-0.3</v>
      </c>
      <c r="G62" s="2">
        <v>30</v>
      </c>
    </row>
    <row r="63" spans="1:7" x14ac:dyDescent="0.2">
      <c r="A63" s="1" t="s">
        <v>70</v>
      </c>
      <c r="B63" s="1" t="s">
        <v>22</v>
      </c>
      <c r="C63" s="2">
        <v>2100</v>
      </c>
      <c r="D63" s="2">
        <f t="shared" si="0"/>
        <v>1470</v>
      </c>
      <c r="E63" s="2">
        <f t="shared" si="1"/>
        <v>-630</v>
      </c>
      <c r="F63" s="3">
        <f t="shared" si="2"/>
        <v>-0.3</v>
      </c>
      <c r="G63" s="2">
        <v>2100</v>
      </c>
    </row>
    <row r="64" spans="1:7" x14ac:dyDescent="0.2">
      <c r="A64" s="1" t="s">
        <v>71</v>
      </c>
      <c r="B64" s="1" t="s">
        <v>22</v>
      </c>
      <c r="C64" s="2">
        <v>70</v>
      </c>
      <c r="D64" s="2">
        <f t="shared" si="0"/>
        <v>49</v>
      </c>
      <c r="E64" s="2">
        <f t="shared" si="1"/>
        <v>-21</v>
      </c>
      <c r="F64" s="3">
        <f t="shared" si="2"/>
        <v>-0.3</v>
      </c>
      <c r="G64" s="2">
        <v>70</v>
      </c>
    </row>
    <row r="65" spans="1:7" x14ac:dyDescent="0.2">
      <c r="A65" s="1" t="s">
        <v>72</v>
      </c>
      <c r="B65" s="1" t="s">
        <v>22</v>
      </c>
      <c r="C65" s="2">
        <v>370</v>
      </c>
      <c r="D65" s="2">
        <f t="shared" si="0"/>
        <v>259</v>
      </c>
      <c r="E65" s="2">
        <f t="shared" si="1"/>
        <v>-111</v>
      </c>
      <c r="F65" s="3">
        <f t="shared" si="2"/>
        <v>-0.3</v>
      </c>
      <c r="G65" s="2">
        <v>370</v>
      </c>
    </row>
    <row r="66" spans="1:7" x14ac:dyDescent="0.2">
      <c r="A66" s="1" t="s">
        <v>73</v>
      </c>
      <c r="B66" s="1" t="s">
        <v>22</v>
      </c>
      <c r="C66" s="2">
        <v>340</v>
      </c>
      <c r="D66" s="2">
        <f t="shared" si="0"/>
        <v>237.99999999999997</v>
      </c>
      <c r="E66" s="2">
        <f t="shared" si="1"/>
        <v>-102.00000000000003</v>
      </c>
      <c r="F66" s="3">
        <f t="shared" si="2"/>
        <v>-0.3000000000000001</v>
      </c>
      <c r="G66" s="2">
        <v>340</v>
      </c>
    </row>
    <row r="67" spans="1:7" x14ac:dyDescent="0.2">
      <c r="A67" s="1" t="s">
        <v>74</v>
      </c>
      <c r="B67" s="1" t="s">
        <v>75</v>
      </c>
      <c r="C67" s="2">
        <v>2000</v>
      </c>
      <c r="D67" s="2">
        <f t="shared" ref="D67:D130" si="3">C67*0.7</f>
        <v>1400</v>
      </c>
      <c r="E67" s="2">
        <f t="shared" ref="E67:E130" si="4">IF(AND(C67&lt;&gt;"",D67&lt;&gt;""),D67-C67,"")</f>
        <v>-600</v>
      </c>
      <c r="F67" s="3">
        <f t="shared" ref="F67:F130" si="5">IF(AND(C67&lt;&gt;"",D67&lt;&gt;"",C67&gt;0),(D67-C67)/C67,"")</f>
        <v>-0.3</v>
      </c>
      <c r="G67" s="2">
        <v>2000</v>
      </c>
    </row>
    <row r="68" spans="1:7" x14ac:dyDescent="0.2">
      <c r="A68" s="1" t="s">
        <v>7</v>
      </c>
      <c r="B68" s="1" t="s">
        <v>76</v>
      </c>
      <c r="C68" s="2">
        <v>2500</v>
      </c>
      <c r="D68" s="2">
        <f t="shared" si="3"/>
        <v>1750</v>
      </c>
      <c r="E68" s="2">
        <f t="shared" si="4"/>
        <v>-750</v>
      </c>
      <c r="F68" s="3">
        <f t="shared" si="5"/>
        <v>-0.3</v>
      </c>
      <c r="G68" s="2">
        <v>2500</v>
      </c>
    </row>
    <row r="69" spans="1:7" x14ac:dyDescent="0.2">
      <c r="A69" s="1" t="s">
        <v>9</v>
      </c>
      <c r="B69" s="1" t="s">
        <v>76</v>
      </c>
      <c r="C69" s="2">
        <v>2500</v>
      </c>
      <c r="D69" s="2">
        <f t="shared" si="3"/>
        <v>1750</v>
      </c>
      <c r="E69" s="2">
        <f t="shared" si="4"/>
        <v>-750</v>
      </c>
      <c r="F69" s="3">
        <f t="shared" si="5"/>
        <v>-0.3</v>
      </c>
      <c r="G69" s="2">
        <v>2500</v>
      </c>
    </row>
    <row r="70" spans="1:7" x14ac:dyDescent="0.2">
      <c r="A70" s="1" t="s">
        <v>10</v>
      </c>
      <c r="B70" s="1" t="s">
        <v>76</v>
      </c>
      <c r="C70" s="2">
        <v>900</v>
      </c>
      <c r="D70" s="2">
        <f t="shared" si="3"/>
        <v>630</v>
      </c>
      <c r="E70" s="2">
        <f t="shared" si="4"/>
        <v>-270</v>
      </c>
      <c r="F70" s="3">
        <f t="shared" si="5"/>
        <v>-0.3</v>
      </c>
      <c r="G70" s="2">
        <v>900</v>
      </c>
    </row>
    <row r="71" spans="1:7" x14ac:dyDescent="0.2">
      <c r="A71" s="1" t="s">
        <v>11</v>
      </c>
      <c r="B71" s="1" t="s">
        <v>76</v>
      </c>
      <c r="C71" s="2">
        <v>1500</v>
      </c>
      <c r="D71" s="2">
        <f t="shared" si="3"/>
        <v>1050</v>
      </c>
      <c r="E71" s="2">
        <f t="shared" si="4"/>
        <v>-450</v>
      </c>
      <c r="F71" s="3">
        <f t="shared" si="5"/>
        <v>-0.3</v>
      </c>
      <c r="G71" s="2">
        <v>1500</v>
      </c>
    </row>
    <row r="72" spans="1:7" x14ac:dyDescent="0.2">
      <c r="A72" s="1" t="s">
        <v>12</v>
      </c>
      <c r="B72" s="1" t="s">
        <v>76</v>
      </c>
      <c r="C72" s="2">
        <v>2100</v>
      </c>
      <c r="D72" s="2">
        <f t="shared" si="3"/>
        <v>1470</v>
      </c>
      <c r="E72" s="2">
        <f t="shared" si="4"/>
        <v>-630</v>
      </c>
      <c r="F72" s="3">
        <f t="shared" si="5"/>
        <v>-0.3</v>
      </c>
      <c r="G72" s="2">
        <v>2100</v>
      </c>
    </row>
    <row r="73" spans="1:7" x14ac:dyDescent="0.2">
      <c r="A73" s="1" t="s">
        <v>13</v>
      </c>
      <c r="B73" s="1" t="s">
        <v>76</v>
      </c>
      <c r="C73" s="2">
        <v>1800</v>
      </c>
      <c r="D73" s="2">
        <f t="shared" si="3"/>
        <v>1260</v>
      </c>
      <c r="E73" s="2">
        <f t="shared" si="4"/>
        <v>-540</v>
      </c>
      <c r="F73" s="3">
        <f t="shared" si="5"/>
        <v>-0.3</v>
      </c>
      <c r="G73" s="2">
        <v>1800</v>
      </c>
    </row>
    <row r="74" spans="1:7" x14ac:dyDescent="0.2">
      <c r="A74" s="1" t="s">
        <v>14</v>
      </c>
      <c r="B74" s="1" t="s">
        <v>76</v>
      </c>
      <c r="C74" s="2">
        <v>1550</v>
      </c>
      <c r="D74" s="2">
        <f t="shared" si="3"/>
        <v>1085</v>
      </c>
      <c r="E74" s="2">
        <f t="shared" si="4"/>
        <v>-465</v>
      </c>
      <c r="F74" s="3">
        <f t="shared" si="5"/>
        <v>-0.3</v>
      </c>
      <c r="G74" s="2">
        <v>1550</v>
      </c>
    </row>
    <row r="75" spans="1:7" x14ac:dyDescent="0.2">
      <c r="A75" s="1" t="s">
        <v>15</v>
      </c>
      <c r="B75" s="1" t="s">
        <v>76</v>
      </c>
      <c r="C75" s="2">
        <v>1350</v>
      </c>
      <c r="D75" s="2">
        <f t="shared" si="3"/>
        <v>944.99999999999989</v>
      </c>
      <c r="E75" s="2">
        <f t="shared" si="4"/>
        <v>-405.00000000000011</v>
      </c>
      <c r="F75" s="3">
        <f t="shared" si="5"/>
        <v>-0.3000000000000001</v>
      </c>
      <c r="G75" s="2">
        <v>1350</v>
      </c>
    </row>
    <row r="76" spans="1:7" x14ac:dyDescent="0.2">
      <c r="A76" s="1" t="s">
        <v>16</v>
      </c>
      <c r="B76" s="1" t="s">
        <v>76</v>
      </c>
      <c r="C76" s="2">
        <v>1500</v>
      </c>
      <c r="D76" s="2">
        <f t="shared" si="3"/>
        <v>1050</v>
      </c>
      <c r="E76" s="2">
        <f t="shared" si="4"/>
        <v>-450</v>
      </c>
      <c r="F76" s="3">
        <f t="shared" si="5"/>
        <v>-0.3</v>
      </c>
      <c r="G76" s="2">
        <v>1500</v>
      </c>
    </row>
    <row r="77" spans="1:7" x14ac:dyDescent="0.2">
      <c r="A77" s="1" t="s">
        <v>17</v>
      </c>
      <c r="B77" s="1" t="s">
        <v>76</v>
      </c>
      <c r="C77" s="2">
        <v>1500</v>
      </c>
      <c r="D77" s="2">
        <f t="shared" si="3"/>
        <v>1050</v>
      </c>
      <c r="E77" s="2">
        <f t="shared" si="4"/>
        <v>-450</v>
      </c>
      <c r="F77" s="3">
        <f t="shared" si="5"/>
        <v>-0.3</v>
      </c>
      <c r="G77" s="2">
        <v>1500</v>
      </c>
    </row>
    <row r="78" spans="1:7" x14ac:dyDescent="0.2">
      <c r="A78" s="1" t="s">
        <v>18</v>
      </c>
      <c r="B78" s="1" t="s">
        <v>76</v>
      </c>
      <c r="C78" s="2">
        <v>1500</v>
      </c>
      <c r="D78" s="2">
        <f t="shared" si="3"/>
        <v>1050</v>
      </c>
      <c r="E78" s="2">
        <f t="shared" si="4"/>
        <v>-450</v>
      </c>
      <c r="F78" s="3">
        <f t="shared" si="5"/>
        <v>-0.3</v>
      </c>
      <c r="G78" s="2">
        <v>1500</v>
      </c>
    </row>
    <row r="79" spans="1:7" x14ac:dyDescent="0.2">
      <c r="A79" s="1" t="s">
        <v>19</v>
      </c>
      <c r="B79" s="1" t="s">
        <v>76</v>
      </c>
      <c r="C79" s="2">
        <v>1500</v>
      </c>
      <c r="D79" s="2">
        <f t="shared" si="3"/>
        <v>1050</v>
      </c>
      <c r="E79" s="2">
        <f t="shared" si="4"/>
        <v>-450</v>
      </c>
      <c r="F79" s="3">
        <f t="shared" si="5"/>
        <v>-0.3</v>
      </c>
      <c r="G79" s="2">
        <v>1500</v>
      </c>
    </row>
    <row r="80" spans="1:7" x14ac:dyDescent="0.2">
      <c r="A80" s="1" t="s">
        <v>20</v>
      </c>
      <c r="B80" s="1" t="s">
        <v>76</v>
      </c>
      <c r="C80" s="2">
        <v>1500</v>
      </c>
      <c r="D80" s="2">
        <f t="shared" si="3"/>
        <v>1050</v>
      </c>
      <c r="E80" s="2">
        <f t="shared" si="4"/>
        <v>-450</v>
      </c>
      <c r="F80" s="3">
        <f t="shared" si="5"/>
        <v>-0.3</v>
      </c>
      <c r="G80" s="2">
        <v>1500</v>
      </c>
    </row>
    <row r="81" spans="1:7" x14ac:dyDescent="0.2">
      <c r="A81" s="1" t="s">
        <v>77</v>
      </c>
      <c r="B81" s="1" t="s">
        <v>78</v>
      </c>
      <c r="C81" s="2">
        <v>24031</v>
      </c>
      <c r="D81" s="2">
        <f t="shared" si="3"/>
        <v>16821.7</v>
      </c>
      <c r="E81" s="2">
        <f t="shared" si="4"/>
        <v>-7209.2999999999993</v>
      </c>
      <c r="F81" s="3">
        <f t="shared" si="5"/>
        <v>-0.3</v>
      </c>
      <c r="G81" s="2">
        <v>24031</v>
      </c>
    </row>
    <row r="82" spans="1:7" x14ac:dyDescent="0.2">
      <c r="A82" s="1" t="s">
        <v>79</v>
      </c>
      <c r="B82" s="1" t="s">
        <v>78</v>
      </c>
      <c r="C82" s="2">
        <v>14500</v>
      </c>
      <c r="D82" s="2">
        <f t="shared" si="3"/>
        <v>10150</v>
      </c>
      <c r="E82" s="2">
        <f t="shared" si="4"/>
        <v>-4350</v>
      </c>
      <c r="F82" s="3">
        <f t="shared" si="5"/>
        <v>-0.3</v>
      </c>
      <c r="G82" s="2">
        <v>14500</v>
      </c>
    </row>
    <row r="83" spans="1:7" x14ac:dyDescent="0.2">
      <c r="A83" s="1" t="s">
        <v>80</v>
      </c>
      <c r="B83" s="1" t="s">
        <v>78</v>
      </c>
      <c r="C83" s="2">
        <v>15200</v>
      </c>
      <c r="D83" s="2">
        <f t="shared" si="3"/>
        <v>10640</v>
      </c>
      <c r="E83" s="2">
        <f t="shared" si="4"/>
        <v>-4560</v>
      </c>
      <c r="F83" s="3">
        <f t="shared" si="5"/>
        <v>-0.3</v>
      </c>
      <c r="G83" s="2">
        <v>15200</v>
      </c>
    </row>
    <row r="84" spans="1:7" x14ac:dyDescent="0.2">
      <c r="A84" s="1" t="s">
        <v>81</v>
      </c>
      <c r="B84" s="1" t="s">
        <v>78</v>
      </c>
      <c r="C84" s="2">
        <v>194862</v>
      </c>
      <c r="D84" s="2">
        <f t="shared" si="3"/>
        <v>136403.4</v>
      </c>
      <c r="E84" s="2">
        <f t="shared" si="4"/>
        <v>-58458.600000000006</v>
      </c>
      <c r="F84" s="3">
        <f t="shared" si="5"/>
        <v>-0.30000000000000004</v>
      </c>
      <c r="G84" s="2">
        <v>194862</v>
      </c>
    </row>
    <row r="85" spans="1:7" x14ac:dyDescent="0.2">
      <c r="A85" s="1" t="s">
        <v>82</v>
      </c>
      <c r="B85" s="1" t="s">
        <v>78</v>
      </c>
      <c r="C85" s="2">
        <v>13000</v>
      </c>
      <c r="D85" s="2">
        <f t="shared" si="3"/>
        <v>9100</v>
      </c>
      <c r="E85" s="2">
        <f t="shared" si="4"/>
        <v>-3900</v>
      </c>
      <c r="F85" s="3">
        <f t="shared" si="5"/>
        <v>-0.3</v>
      </c>
      <c r="G85" s="2">
        <v>13000</v>
      </c>
    </row>
    <row r="86" spans="1:7" x14ac:dyDescent="0.2">
      <c r="A86" s="1" t="s">
        <v>83</v>
      </c>
      <c r="B86" s="1" t="s">
        <v>78</v>
      </c>
      <c r="C86" s="2">
        <v>37700</v>
      </c>
      <c r="D86" s="2">
        <f t="shared" si="3"/>
        <v>26390</v>
      </c>
      <c r="E86" s="2">
        <f t="shared" si="4"/>
        <v>-11310</v>
      </c>
      <c r="F86" s="3">
        <f t="shared" si="5"/>
        <v>-0.3</v>
      </c>
      <c r="G86" s="2">
        <v>37700</v>
      </c>
    </row>
    <row r="87" spans="1:7" x14ac:dyDescent="0.2">
      <c r="A87" s="1" t="s">
        <v>7</v>
      </c>
      <c r="B87" s="1" t="s">
        <v>84</v>
      </c>
      <c r="C87" s="2">
        <v>2300</v>
      </c>
      <c r="D87" s="2">
        <f t="shared" si="3"/>
        <v>1610</v>
      </c>
      <c r="E87" s="2">
        <f t="shared" si="4"/>
        <v>-690</v>
      </c>
      <c r="F87" s="3">
        <f t="shared" si="5"/>
        <v>-0.3</v>
      </c>
      <c r="G87" s="2">
        <v>2300</v>
      </c>
    </row>
    <row r="88" spans="1:7" x14ac:dyDescent="0.2">
      <c r="A88" s="1" t="s">
        <v>9</v>
      </c>
      <c r="B88" s="1" t="s">
        <v>84</v>
      </c>
      <c r="C88" s="2">
        <v>2300</v>
      </c>
      <c r="D88" s="2">
        <f t="shared" si="3"/>
        <v>1610</v>
      </c>
      <c r="E88" s="2">
        <f t="shared" si="4"/>
        <v>-690</v>
      </c>
      <c r="F88" s="3">
        <f t="shared" si="5"/>
        <v>-0.3</v>
      </c>
      <c r="G88" s="2">
        <v>2300</v>
      </c>
    </row>
    <row r="89" spans="1:7" x14ac:dyDescent="0.2">
      <c r="A89" s="1" t="s">
        <v>10</v>
      </c>
      <c r="B89" s="1" t="s">
        <v>84</v>
      </c>
      <c r="C89" s="2">
        <v>700</v>
      </c>
      <c r="D89" s="2">
        <f t="shared" si="3"/>
        <v>489.99999999999994</v>
      </c>
      <c r="E89" s="2">
        <f t="shared" si="4"/>
        <v>-210.00000000000006</v>
      </c>
      <c r="F89" s="3">
        <f t="shared" si="5"/>
        <v>-0.3000000000000001</v>
      </c>
      <c r="G89" s="2">
        <v>700</v>
      </c>
    </row>
    <row r="90" spans="1:7" x14ac:dyDescent="0.2">
      <c r="A90" s="1" t="s">
        <v>11</v>
      </c>
      <c r="B90" s="1" t="s">
        <v>84</v>
      </c>
      <c r="C90" s="2">
        <v>1200</v>
      </c>
      <c r="D90" s="2">
        <f t="shared" si="3"/>
        <v>840</v>
      </c>
      <c r="E90" s="2">
        <f t="shared" si="4"/>
        <v>-360</v>
      </c>
      <c r="F90" s="3">
        <f t="shared" si="5"/>
        <v>-0.3</v>
      </c>
      <c r="G90" s="2">
        <v>1200</v>
      </c>
    </row>
    <row r="91" spans="1:7" x14ac:dyDescent="0.2">
      <c r="A91" s="1" t="s">
        <v>12</v>
      </c>
      <c r="B91" s="1" t="s">
        <v>84</v>
      </c>
      <c r="C91" s="2">
        <v>1900</v>
      </c>
      <c r="D91" s="2">
        <f t="shared" si="3"/>
        <v>1330</v>
      </c>
      <c r="E91" s="2">
        <f t="shared" si="4"/>
        <v>-570</v>
      </c>
      <c r="F91" s="3">
        <f t="shared" si="5"/>
        <v>-0.3</v>
      </c>
      <c r="G91" s="2">
        <v>1900</v>
      </c>
    </row>
    <row r="92" spans="1:7" x14ac:dyDescent="0.2">
      <c r="A92" s="1" t="s">
        <v>13</v>
      </c>
      <c r="B92" s="1" t="s">
        <v>84</v>
      </c>
      <c r="C92" s="2">
        <v>1550</v>
      </c>
      <c r="D92" s="2">
        <f t="shared" si="3"/>
        <v>1085</v>
      </c>
      <c r="E92" s="2">
        <f t="shared" si="4"/>
        <v>-465</v>
      </c>
      <c r="F92" s="3">
        <f t="shared" si="5"/>
        <v>-0.3</v>
      </c>
      <c r="G92" s="2">
        <v>1550</v>
      </c>
    </row>
    <row r="93" spans="1:7" x14ac:dyDescent="0.2">
      <c r="A93" s="1" t="s">
        <v>14</v>
      </c>
      <c r="B93" s="1" t="s">
        <v>84</v>
      </c>
      <c r="C93" s="2">
        <v>1350</v>
      </c>
      <c r="D93" s="2">
        <f t="shared" si="3"/>
        <v>944.99999999999989</v>
      </c>
      <c r="E93" s="2">
        <f t="shared" si="4"/>
        <v>-405.00000000000011</v>
      </c>
      <c r="F93" s="3">
        <f t="shared" si="5"/>
        <v>-0.3000000000000001</v>
      </c>
      <c r="G93" s="2">
        <v>1350</v>
      </c>
    </row>
    <row r="94" spans="1:7" x14ac:dyDescent="0.2">
      <c r="A94" s="1" t="s">
        <v>15</v>
      </c>
      <c r="B94" s="1" t="s">
        <v>84</v>
      </c>
      <c r="C94" s="2">
        <v>1150</v>
      </c>
      <c r="D94" s="2">
        <f t="shared" si="3"/>
        <v>805</v>
      </c>
      <c r="E94" s="2">
        <f t="shared" si="4"/>
        <v>-345</v>
      </c>
      <c r="F94" s="3">
        <f t="shared" si="5"/>
        <v>-0.3</v>
      </c>
      <c r="G94" s="2">
        <v>1150</v>
      </c>
    </row>
    <row r="95" spans="1:7" x14ac:dyDescent="0.2">
      <c r="A95" s="1" t="s">
        <v>16</v>
      </c>
      <c r="B95" s="1" t="s">
        <v>84</v>
      </c>
      <c r="C95" s="2">
        <v>1200</v>
      </c>
      <c r="D95" s="2">
        <f t="shared" si="3"/>
        <v>840</v>
      </c>
      <c r="E95" s="2">
        <f t="shared" si="4"/>
        <v>-360</v>
      </c>
      <c r="F95" s="3">
        <f t="shared" si="5"/>
        <v>-0.3</v>
      </c>
      <c r="G95" s="2">
        <v>1200</v>
      </c>
    </row>
    <row r="96" spans="1:7" x14ac:dyDescent="0.2">
      <c r="A96" s="1" t="s">
        <v>17</v>
      </c>
      <c r="B96" s="1" t="s">
        <v>84</v>
      </c>
      <c r="C96" s="2">
        <v>1200</v>
      </c>
      <c r="D96" s="2">
        <f t="shared" si="3"/>
        <v>840</v>
      </c>
      <c r="E96" s="2">
        <f t="shared" si="4"/>
        <v>-360</v>
      </c>
      <c r="F96" s="3">
        <f t="shared" si="5"/>
        <v>-0.3</v>
      </c>
      <c r="G96" s="2">
        <v>1200</v>
      </c>
    </row>
    <row r="97" spans="1:7" x14ac:dyDescent="0.2">
      <c r="A97" s="1" t="s">
        <v>18</v>
      </c>
      <c r="B97" s="1" t="s">
        <v>84</v>
      </c>
      <c r="C97" s="2">
        <v>1200</v>
      </c>
      <c r="D97" s="2">
        <f t="shared" si="3"/>
        <v>840</v>
      </c>
      <c r="E97" s="2">
        <f t="shared" si="4"/>
        <v>-360</v>
      </c>
      <c r="F97" s="3">
        <f t="shared" si="5"/>
        <v>-0.3</v>
      </c>
      <c r="G97" s="2">
        <v>1200</v>
      </c>
    </row>
    <row r="98" spans="1:7" x14ac:dyDescent="0.2">
      <c r="A98" s="1" t="s">
        <v>19</v>
      </c>
      <c r="B98" s="1" t="s">
        <v>84</v>
      </c>
      <c r="C98" s="2">
        <v>1200</v>
      </c>
      <c r="D98" s="2">
        <f t="shared" si="3"/>
        <v>840</v>
      </c>
      <c r="E98" s="2">
        <f t="shared" si="4"/>
        <v>-360</v>
      </c>
      <c r="F98" s="3">
        <f t="shared" si="5"/>
        <v>-0.3</v>
      </c>
      <c r="G98" s="2">
        <v>1200</v>
      </c>
    </row>
    <row r="99" spans="1:7" x14ac:dyDescent="0.2">
      <c r="A99" s="1" t="s">
        <v>20</v>
      </c>
      <c r="B99" s="1" t="s">
        <v>84</v>
      </c>
      <c r="C99" s="2">
        <v>1200</v>
      </c>
      <c r="D99" s="2">
        <f t="shared" si="3"/>
        <v>840</v>
      </c>
      <c r="E99" s="2">
        <f t="shared" si="4"/>
        <v>-360</v>
      </c>
      <c r="F99" s="3">
        <f t="shared" si="5"/>
        <v>-0.3</v>
      </c>
      <c r="G99" s="2">
        <v>1200</v>
      </c>
    </row>
    <row r="100" spans="1:7" x14ac:dyDescent="0.2">
      <c r="A100" s="1" t="s">
        <v>85</v>
      </c>
      <c r="B100" s="1" t="s">
        <v>86</v>
      </c>
      <c r="C100" s="2">
        <v>3000</v>
      </c>
      <c r="D100" s="2">
        <f t="shared" si="3"/>
        <v>2100</v>
      </c>
      <c r="E100" s="2">
        <f t="shared" si="4"/>
        <v>-900</v>
      </c>
      <c r="F100" s="3">
        <f t="shared" si="5"/>
        <v>-0.3</v>
      </c>
      <c r="G100" s="2">
        <v>3000</v>
      </c>
    </row>
    <row r="101" spans="1:7" x14ac:dyDescent="0.2">
      <c r="A101" s="1" t="s">
        <v>87</v>
      </c>
      <c r="B101" s="1" t="s">
        <v>86</v>
      </c>
      <c r="C101" s="2">
        <v>2500</v>
      </c>
      <c r="D101" s="2">
        <f t="shared" si="3"/>
        <v>1750</v>
      </c>
      <c r="E101" s="2">
        <f t="shared" si="4"/>
        <v>-750</v>
      </c>
      <c r="F101" s="3">
        <f t="shared" si="5"/>
        <v>-0.3</v>
      </c>
      <c r="G101" s="2">
        <v>2500</v>
      </c>
    </row>
    <row r="102" spans="1:7" x14ac:dyDescent="0.2">
      <c r="A102" s="1" t="s">
        <v>88</v>
      </c>
      <c r="B102" s="1" t="s">
        <v>86</v>
      </c>
      <c r="C102" s="2">
        <v>2500</v>
      </c>
      <c r="D102" s="2">
        <f t="shared" si="3"/>
        <v>1750</v>
      </c>
      <c r="E102" s="2">
        <f t="shared" si="4"/>
        <v>-750</v>
      </c>
      <c r="F102" s="3">
        <f t="shared" si="5"/>
        <v>-0.3</v>
      </c>
      <c r="G102" s="2">
        <v>2500</v>
      </c>
    </row>
    <row r="103" spans="1:7" x14ac:dyDescent="0.2">
      <c r="A103" s="1" t="s">
        <v>89</v>
      </c>
      <c r="B103" s="1" t="s">
        <v>86</v>
      </c>
      <c r="C103" s="2">
        <v>1100</v>
      </c>
      <c r="D103" s="2">
        <f t="shared" si="3"/>
        <v>770</v>
      </c>
      <c r="E103" s="2">
        <f t="shared" si="4"/>
        <v>-330</v>
      </c>
      <c r="F103" s="3">
        <f t="shared" si="5"/>
        <v>-0.3</v>
      </c>
      <c r="G103" s="2">
        <v>1100</v>
      </c>
    </row>
    <row r="104" spans="1:7" x14ac:dyDescent="0.2">
      <c r="A104" s="1" t="s">
        <v>90</v>
      </c>
      <c r="B104" s="1" t="s">
        <v>86</v>
      </c>
      <c r="C104" s="2">
        <v>2500</v>
      </c>
      <c r="D104" s="2">
        <f t="shared" si="3"/>
        <v>1750</v>
      </c>
      <c r="E104" s="2">
        <f t="shared" si="4"/>
        <v>-750</v>
      </c>
      <c r="F104" s="3">
        <f t="shared" si="5"/>
        <v>-0.3</v>
      </c>
      <c r="G104" s="2">
        <v>2500</v>
      </c>
    </row>
    <row r="105" spans="1:7" x14ac:dyDescent="0.2">
      <c r="A105" s="1" t="s">
        <v>91</v>
      </c>
      <c r="B105" s="1" t="s">
        <v>86</v>
      </c>
      <c r="C105" s="2">
        <v>2500</v>
      </c>
      <c r="D105" s="2">
        <f t="shared" si="3"/>
        <v>1750</v>
      </c>
      <c r="E105" s="2">
        <f t="shared" si="4"/>
        <v>-750</v>
      </c>
      <c r="F105" s="3">
        <f t="shared" si="5"/>
        <v>-0.3</v>
      </c>
      <c r="G105" s="2">
        <v>2500</v>
      </c>
    </row>
    <row r="106" spans="1:7" x14ac:dyDescent="0.2">
      <c r="A106" s="1" t="s">
        <v>92</v>
      </c>
      <c r="B106" s="1" t="s">
        <v>86</v>
      </c>
      <c r="C106" s="2">
        <v>2500</v>
      </c>
      <c r="D106" s="2">
        <f t="shared" si="3"/>
        <v>1750</v>
      </c>
      <c r="E106" s="2">
        <f t="shared" si="4"/>
        <v>-750</v>
      </c>
      <c r="F106" s="3">
        <f t="shared" si="5"/>
        <v>-0.3</v>
      </c>
      <c r="G106" s="2">
        <v>2500</v>
      </c>
    </row>
    <row r="107" spans="1:7" x14ac:dyDescent="0.2">
      <c r="A107" s="1" t="s">
        <v>93</v>
      </c>
      <c r="B107" s="1" t="s">
        <v>86</v>
      </c>
      <c r="C107" s="2">
        <v>2500</v>
      </c>
      <c r="D107" s="2">
        <f t="shared" si="3"/>
        <v>1750</v>
      </c>
      <c r="E107" s="2">
        <f t="shared" si="4"/>
        <v>-750</v>
      </c>
      <c r="F107" s="3">
        <f t="shared" si="5"/>
        <v>-0.3</v>
      </c>
      <c r="G107" s="2">
        <v>2500</v>
      </c>
    </row>
    <row r="108" spans="1:7" x14ac:dyDescent="0.2">
      <c r="A108" s="1" t="s">
        <v>94</v>
      </c>
      <c r="B108" s="1" t="s">
        <v>86</v>
      </c>
      <c r="C108" s="2">
        <v>2500</v>
      </c>
      <c r="D108" s="2">
        <f t="shared" si="3"/>
        <v>1750</v>
      </c>
      <c r="E108" s="2">
        <f t="shared" si="4"/>
        <v>-750</v>
      </c>
      <c r="F108" s="3">
        <f t="shared" si="5"/>
        <v>-0.3</v>
      </c>
      <c r="G108" s="2">
        <v>2500</v>
      </c>
    </row>
    <row r="109" spans="1:7" x14ac:dyDescent="0.2">
      <c r="A109" s="1" t="s">
        <v>95</v>
      </c>
      <c r="B109" s="1" t="s">
        <v>86</v>
      </c>
      <c r="C109" s="2">
        <v>1700</v>
      </c>
      <c r="D109" s="2">
        <f t="shared" si="3"/>
        <v>1190</v>
      </c>
      <c r="E109" s="2">
        <f t="shared" si="4"/>
        <v>-510</v>
      </c>
      <c r="F109" s="3">
        <f t="shared" si="5"/>
        <v>-0.3</v>
      </c>
      <c r="G109" s="2">
        <v>1700</v>
      </c>
    </row>
    <row r="110" spans="1:7" x14ac:dyDescent="0.2">
      <c r="A110" s="1" t="s">
        <v>96</v>
      </c>
      <c r="B110" s="1" t="s">
        <v>86</v>
      </c>
      <c r="C110" s="2">
        <v>1700</v>
      </c>
      <c r="D110" s="2">
        <f t="shared" si="3"/>
        <v>1190</v>
      </c>
      <c r="E110" s="2">
        <f t="shared" si="4"/>
        <v>-510</v>
      </c>
      <c r="F110" s="3">
        <f t="shared" si="5"/>
        <v>-0.3</v>
      </c>
      <c r="G110" s="2">
        <v>1700</v>
      </c>
    </row>
    <row r="111" spans="1:7" x14ac:dyDescent="0.2">
      <c r="A111" s="1" t="s">
        <v>97</v>
      </c>
      <c r="B111" s="1" t="s">
        <v>86</v>
      </c>
      <c r="C111" s="2">
        <v>1000</v>
      </c>
      <c r="D111" s="2">
        <f t="shared" si="3"/>
        <v>700</v>
      </c>
      <c r="E111" s="2">
        <f t="shared" si="4"/>
        <v>-300</v>
      </c>
      <c r="F111" s="3">
        <f t="shared" si="5"/>
        <v>-0.3</v>
      </c>
      <c r="G111" s="2">
        <v>1000</v>
      </c>
    </row>
    <row r="112" spans="1:7" x14ac:dyDescent="0.2">
      <c r="A112" s="1" t="s">
        <v>98</v>
      </c>
      <c r="B112" s="1" t="s">
        <v>99</v>
      </c>
      <c r="C112" s="2">
        <v>3500</v>
      </c>
      <c r="D112" s="2">
        <f t="shared" si="3"/>
        <v>2450</v>
      </c>
      <c r="E112" s="2">
        <f t="shared" si="4"/>
        <v>-1050</v>
      </c>
      <c r="F112" s="3">
        <f t="shared" si="5"/>
        <v>-0.3</v>
      </c>
      <c r="G112" s="2">
        <v>3500</v>
      </c>
    </row>
    <row r="113" spans="1:7" x14ac:dyDescent="0.2">
      <c r="A113" s="1" t="s">
        <v>100</v>
      </c>
      <c r="B113" s="1" t="s">
        <v>99</v>
      </c>
      <c r="C113" s="2">
        <v>1800</v>
      </c>
      <c r="D113" s="2">
        <f t="shared" si="3"/>
        <v>1260</v>
      </c>
      <c r="E113" s="2">
        <f t="shared" si="4"/>
        <v>-540</v>
      </c>
      <c r="F113" s="3">
        <f t="shared" si="5"/>
        <v>-0.3</v>
      </c>
      <c r="G113" s="2">
        <v>1800</v>
      </c>
    </row>
    <row r="114" spans="1:7" x14ac:dyDescent="0.2">
      <c r="A114" s="1" t="s">
        <v>101</v>
      </c>
      <c r="B114" s="1" t="s">
        <v>102</v>
      </c>
      <c r="C114" s="2">
        <v>1700</v>
      </c>
      <c r="D114" s="2">
        <f t="shared" si="3"/>
        <v>1190</v>
      </c>
      <c r="E114" s="2">
        <f t="shared" si="4"/>
        <v>-510</v>
      </c>
      <c r="F114" s="3">
        <f t="shared" si="5"/>
        <v>-0.3</v>
      </c>
      <c r="G114" s="2">
        <v>1700</v>
      </c>
    </row>
    <row r="115" spans="1:7" x14ac:dyDescent="0.2">
      <c r="A115" s="1" t="s">
        <v>103</v>
      </c>
      <c r="B115" s="1" t="s">
        <v>102</v>
      </c>
      <c r="C115" s="2">
        <v>1700</v>
      </c>
      <c r="D115" s="2">
        <f t="shared" si="3"/>
        <v>1190</v>
      </c>
      <c r="E115" s="2">
        <f t="shared" si="4"/>
        <v>-510</v>
      </c>
      <c r="F115" s="3">
        <f t="shared" si="5"/>
        <v>-0.3</v>
      </c>
      <c r="G115" s="2">
        <v>1700</v>
      </c>
    </row>
    <row r="116" spans="1:7" x14ac:dyDescent="0.2">
      <c r="A116" s="1" t="s">
        <v>104</v>
      </c>
      <c r="B116" s="1" t="s">
        <v>102</v>
      </c>
      <c r="C116" s="2">
        <v>1700</v>
      </c>
      <c r="D116" s="2">
        <f t="shared" si="3"/>
        <v>1190</v>
      </c>
      <c r="E116" s="2">
        <f t="shared" si="4"/>
        <v>-510</v>
      </c>
      <c r="F116" s="3">
        <f t="shared" si="5"/>
        <v>-0.3</v>
      </c>
      <c r="G116" s="2">
        <v>1700</v>
      </c>
    </row>
    <row r="117" spans="1:7" x14ac:dyDescent="0.2">
      <c r="A117" s="1" t="s">
        <v>105</v>
      </c>
      <c r="B117" s="1" t="s">
        <v>102</v>
      </c>
      <c r="C117" s="2">
        <v>1100</v>
      </c>
      <c r="D117" s="2">
        <f t="shared" si="3"/>
        <v>770</v>
      </c>
      <c r="E117" s="2">
        <f t="shared" si="4"/>
        <v>-330</v>
      </c>
      <c r="F117" s="3">
        <f t="shared" si="5"/>
        <v>-0.3</v>
      </c>
      <c r="G117" s="2">
        <v>1100</v>
      </c>
    </row>
    <row r="118" spans="1:7" x14ac:dyDescent="0.2">
      <c r="A118" s="1" t="s">
        <v>106</v>
      </c>
      <c r="B118" s="1" t="s">
        <v>102</v>
      </c>
      <c r="C118" s="2">
        <v>1100</v>
      </c>
      <c r="D118" s="2">
        <f t="shared" si="3"/>
        <v>770</v>
      </c>
      <c r="E118" s="2">
        <f t="shared" si="4"/>
        <v>-330</v>
      </c>
      <c r="F118" s="3">
        <f t="shared" si="5"/>
        <v>-0.3</v>
      </c>
      <c r="G118" s="2">
        <v>1100</v>
      </c>
    </row>
    <row r="119" spans="1:7" x14ac:dyDescent="0.2">
      <c r="A119" s="1" t="s">
        <v>107</v>
      </c>
      <c r="B119" s="1" t="s">
        <v>108</v>
      </c>
      <c r="C119" s="2">
        <v>1600</v>
      </c>
      <c r="D119" s="2">
        <f t="shared" si="3"/>
        <v>1120</v>
      </c>
      <c r="E119" s="2">
        <f t="shared" si="4"/>
        <v>-480</v>
      </c>
      <c r="F119" s="3">
        <f t="shared" si="5"/>
        <v>-0.3</v>
      </c>
      <c r="G119" s="2">
        <v>1600</v>
      </c>
    </row>
    <row r="120" spans="1:7" x14ac:dyDescent="0.2">
      <c r="A120" s="1" t="s">
        <v>109</v>
      </c>
      <c r="B120" s="1" t="s">
        <v>108</v>
      </c>
      <c r="C120" s="2">
        <v>1300</v>
      </c>
      <c r="D120" s="2">
        <f t="shared" si="3"/>
        <v>909.99999999999989</v>
      </c>
      <c r="E120" s="2">
        <f t="shared" si="4"/>
        <v>-390.00000000000011</v>
      </c>
      <c r="F120" s="3">
        <f t="shared" si="5"/>
        <v>-0.3000000000000001</v>
      </c>
      <c r="G120" s="2">
        <v>1300</v>
      </c>
    </row>
    <row r="121" spans="1:7" x14ac:dyDescent="0.2">
      <c r="A121" s="1" t="s">
        <v>110</v>
      </c>
      <c r="B121" s="1" t="s">
        <v>108</v>
      </c>
      <c r="C121" s="2">
        <v>1300</v>
      </c>
      <c r="D121" s="2">
        <f t="shared" si="3"/>
        <v>909.99999999999989</v>
      </c>
      <c r="E121" s="2">
        <f t="shared" si="4"/>
        <v>-390.00000000000011</v>
      </c>
      <c r="F121" s="3">
        <f t="shared" si="5"/>
        <v>-0.3000000000000001</v>
      </c>
      <c r="G121" s="2">
        <v>1300</v>
      </c>
    </row>
    <row r="122" spans="1:7" x14ac:dyDescent="0.2">
      <c r="A122" s="1" t="s">
        <v>111</v>
      </c>
      <c r="B122" s="1" t="s">
        <v>108</v>
      </c>
      <c r="C122" s="2">
        <v>1300</v>
      </c>
      <c r="D122" s="2">
        <f t="shared" si="3"/>
        <v>909.99999999999989</v>
      </c>
      <c r="E122" s="2">
        <f t="shared" si="4"/>
        <v>-390.00000000000011</v>
      </c>
      <c r="F122" s="3">
        <f t="shared" si="5"/>
        <v>-0.3000000000000001</v>
      </c>
      <c r="G122" s="2">
        <v>1300</v>
      </c>
    </row>
    <row r="123" spans="1:7" x14ac:dyDescent="0.2">
      <c r="A123" s="1" t="s">
        <v>112</v>
      </c>
      <c r="B123" s="1" t="s">
        <v>108</v>
      </c>
      <c r="C123" s="2">
        <v>1300</v>
      </c>
      <c r="D123" s="2">
        <f t="shared" si="3"/>
        <v>909.99999999999989</v>
      </c>
      <c r="E123" s="2">
        <f t="shared" si="4"/>
        <v>-390.00000000000011</v>
      </c>
      <c r="F123" s="3">
        <f t="shared" si="5"/>
        <v>-0.3000000000000001</v>
      </c>
      <c r="G123" s="2">
        <v>1300</v>
      </c>
    </row>
    <row r="124" spans="1:7" x14ac:dyDescent="0.2">
      <c r="A124" s="1" t="s">
        <v>113</v>
      </c>
      <c r="B124" s="1" t="s">
        <v>108</v>
      </c>
      <c r="C124" s="2">
        <v>1300</v>
      </c>
      <c r="D124" s="2">
        <f t="shared" si="3"/>
        <v>909.99999999999989</v>
      </c>
      <c r="E124" s="2">
        <f t="shared" si="4"/>
        <v>-390.00000000000011</v>
      </c>
      <c r="F124" s="3">
        <f t="shared" si="5"/>
        <v>-0.3000000000000001</v>
      </c>
      <c r="G124" s="2">
        <v>1300</v>
      </c>
    </row>
    <row r="125" spans="1:7" x14ac:dyDescent="0.2">
      <c r="A125" s="1" t="s">
        <v>114</v>
      </c>
      <c r="B125" s="1" t="s">
        <v>108</v>
      </c>
      <c r="C125" s="2">
        <v>950</v>
      </c>
      <c r="D125" s="2">
        <f t="shared" si="3"/>
        <v>665</v>
      </c>
      <c r="E125" s="2">
        <f t="shared" si="4"/>
        <v>-285</v>
      </c>
      <c r="F125" s="3">
        <f t="shared" si="5"/>
        <v>-0.3</v>
      </c>
      <c r="G125" s="2">
        <v>950</v>
      </c>
    </row>
    <row r="126" spans="1:7" x14ac:dyDescent="0.2">
      <c r="A126" s="1" t="s">
        <v>115</v>
      </c>
      <c r="B126" s="1" t="s">
        <v>108</v>
      </c>
      <c r="C126" s="2">
        <v>950</v>
      </c>
      <c r="D126" s="2">
        <f t="shared" si="3"/>
        <v>665</v>
      </c>
      <c r="E126" s="2">
        <f t="shared" si="4"/>
        <v>-285</v>
      </c>
      <c r="F126" s="3">
        <f t="shared" si="5"/>
        <v>-0.3</v>
      </c>
      <c r="G126" s="2">
        <v>950</v>
      </c>
    </row>
    <row r="127" spans="1:7" x14ac:dyDescent="0.2">
      <c r="A127" s="1" t="s">
        <v>116</v>
      </c>
      <c r="B127" s="1" t="s">
        <v>108</v>
      </c>
      <c r="C127" s="2">
        <v>950</v>
      </c>
      <c r="D127" s="2">
        <f t="shared" si="3"/>
        <v>665</v>
      </c>
      <c r="E127" s="2">
        <f t="shared" si="4"/>
        <v>-285</v>
      </c>
      <c r="F127" s="3">
        <f t="shared" si="5"/>
        <v>-0.3</v>
      </c>
      <c r="G127" s="2">
        <v>950</v>
      </c>
    </row>
    <row r="128" spans="1:7" x14ac:dyDescent="0.2">
      <c r="A128" s="1" t="s">
        <v>117</v>
      </c>
      <c r="B128" s="1" t="s">
        <v>108</v>
      </c>
      <c r="C128" s="2">
        <v>950</v>
      </c>
      <c r="D128" s="2">
        <f t="shared" si="3"/>
        <v>665</v>
      </c>
      <c r="E128" s="2">
        <f t="shared" si="4"/>
        <v>-285</v>
      </c>
      <c r="F128" s="3">
        <f t="shared" si="5"/>
        <v>-0.3</v>
      </c>
      <c r="G128" s="2">
        <v>950</v>
      </c>
    </row>
    <row r="129" spans="1:7" x14ac:dyDescent="0.2">
      <c r="A129" s="1" t="s">
        <v>118</v>
      </c>
      <c r="B129" s="1" t="s">
        <v>119</v>
      </c>
      <c r="C129" s="2">
        <v>1200</v>
      </c>
      <c r="D129" s="2">
        <f t="shared" si="3"/>
        <v>840</v>
      </c>
      <c r="E129" s="2">
        <f t="shared" si="4"/>
        <v>-360</v>
      </c>
      <c r="F129" s="3">
        <f t="shared" si="5"/>
        <v>-0.3</v>
      </c>
      <c r="G129" s="2">
        <v>1200</v>
      </c>
    </row>
    <row r="130" spans="1:7" x14ac:dyDescent="0.2">
      <c r="A130" s="1" t="s">
        <v>120</v>
      </c>
      <c r="B130" s="1" t="s">
        <v>119</v>
      </c>
      <c r="C130" s="2">
        <v>32000</v>
      </c>
      <c r="D130" s="2">
        <f t="shared" si="3"/>
        <v>22400</v>
      </c>
      <c r="E130" s="2">
        <f t="shared" si="4"/>
        <v>-9600</v>
      </c>
      <c r="F130" s="3">
        <f t="shared" si="5"/>
        <v>-0.3</v>
      </c>
      <c r="G130" s="2">
        <v>32000</v>
      </c>
    </row>
    <row r="131" spans="1:7" x14ac:dyDescent="0.2">
      <c r="A131" s="1" t="s">
        <v>121</v>
      </c>
      <c r="B131" s="1" t="s">
        <v>119</v>
      </c>
      <c r="C131" s="2">
        <v>45000</v>
      </c>
      <c r="D131" s="2">
        <f t="shared" ref="D131:D194" si="6">C131*0.7</f>
        <v>31499.999999999996</v>
      </c>
      <c r="E131" s="2">
        <f t="shared" ref="E131:E194" si="7">IF(AND(C131&lt;&gt;"",D131&lt;&gt;""),D131-C131,"")</f>
        <v>-13500.000000000004</v>
      </c>
      <c r="F131" s="3">
        <f t="shared" ref="F131:F194" si="8">IF(AND(C131&lt;&gt;"",D131&lt;&gt;"",C131&gt;0),(D131-C131)/C131,"")</f>
        <v>-0.3000000000000001</v>
      </c>
      <c r="G131" s="2">
        <v>45000</v>
      </c>
    </row>
    <row r="132" spans="1:7" x14ac:dyDescent="0.2">
      <c r="A132" s="1" t="s">
        <v>122</v>
      </c>
      <c r="B132" s="1" t="s">
        <v>119</v>
      </c>
      <c r="C132" s="2">
        <v>2500</v>
      </c>
      <c r="D132" s="2">
        <f t="shared" si="6"/>
        <v>1750</v>
      </c>
      <c r="E132" s="2">
        <f t="shared" si="7"/>
        <v>-750</v>
      </c>
      <c r="F132" s="3">
        <f t="shared" si="8"/>
        <v>-0.3</v>
      </c>
      <c r="G132" s="2">
        <v>2500</v>
      </c>
    </row>
    <row r="133" spans="1:7" x14ac:dyDescent="0.2">
      <c r="A133" s="1" t="s">
        <v>123</v>
      </c>
      <c r="B133" s="1" t="s">
        <v>119</v>
      </c>
      <c r="C133" s="2">
        <v>32000</v>
      </c>
      <c r="D133" s="2">
        <f t="shared" si="6"/>
        <v>22400</v>
      </c>
      <c r="E133" s="2">
        <f t="shared" si="7"/>
        <v>-9600</v>
      </c>
      <c r="F133" s="3">
        <f t="shared" si="8"/>
        <v>-0.3</v>
      </c>
      <c r="G133" s="2">
        <v>32000</v>
      </c>
    </row>
    <row r="134" spans="1:7" x14ac:dyDescent="0.2">
      <c r="A134" s="1" t="s">
        <v>124</v>
      </c>
      <c r="B134" s="1" t="s">
        <v>119</v>
      </c>
      <c r="C134" s="2">
        <v>15700</v>
      </c>
      <c r="D134" s="2">
        <f t="shared" si="6"/>
        <v>10990</v>
      </c>
      <c r="E134" s="2">
        <f t="shared" si="7"/>
        <v>-4710</v>
      </c>
      <c r="F134" s="3">
        <f t="shared" si="8"/>
        <v>-0.3</v>
      </c>
      <c r="G134" s="2">
        <v>15700</v>
      </c>
    </row>
    <row r="135" spans="1:7" x14ac:dyDescent="0.2">
      <c r="A135" s="1" t="s">
        <v>125</v>
      </c>
      <c r="B135" s="1" t="s">
        <v>119</v>
      </c>
      <c r="C135" s="2">
        <v>7200</v>
      </c>
      <c r="D135" s="2">
        <f t="shared" si="6"/>
        <v>5040</v>
      </c>
      <c r="E135" s="2">
        <f t="shared" si="7"/>
        <v>-2160</v>
      </c>
      <c r="F135" s="3">
        <f t="shared" si="8"/>
        <v>-0.3</v>
      </c>
      <c r="G135" s="2">
        <v>7200</v>
      </c>
    </row>
    <row r="136" spans="1:7" x14ac:dyDescent="0.2">
      <c r="A136" s="1" t="s">
        <v>126</v>
      </c>
      <c r="B136" s="1" t="s">
        <v>119</v>
      </c>
      <c r="C136" s="2">
        <v>42000</v>
      </c>
      <c r="D136" s="2">
        <f t="shared" si="6"/>
        <v>29399.999999999996</v>
      </c>
      <c r="E136" s="2">
        <f t="shared" si="7"/>
        <v>-12600.000000000004</v>
      </c>
      <c r="F136" s="3">
        <f t="shared" si="8"/>
        <v>-0.3000000000000001</v>
      </c>
      <c r="G136" s="2">
        <v>42000</v>
      </c>
    </row>
    <row r="137" spans="1:7" x14ac:dyDescent="0.2">
      <c r="A137" s="1" t="s">
        <v>127</v>
      </c>
      <c r="B137" s="1" t="s">
        <v>119</v>
      </c>
      <c r="C137" s="2">
        <v>12000</v>
      </c>
      <c r="D137" s="2">
        <f t="shared" si="6"/>
        <v>8400</v>
      </c>
      <c r="E137" s="2">
        <f t="shared" si="7"/>
        <v>-3600</v>
      </c>
      <c r="F137" s="3">
        <f t="shared" si="8"/>
        <v>-0.3</v>
      </c>
      <c r="G137" s="2">
        <v>12000</v>
      </c>
    </row>
    <row r="138" spans="1:7" x14ac:dyDescent="0.2">
      <c r="A138" s="1" t="s">
        <v>128</v>
      </c>
      <c r="B138" s="1" t="s">
        <v>119</v>
      </c>
      <c r="C138" s="2">
        <v>6500</v>
      </c>
      <c r="D138" s="2">
        <f t="shared" si="6"/>
        <v>4550</v>
      </c>
      <c r="E138" s="2">
        <f t="shared" si="7"/>
        <v>-1950</v>
      </c>
      <c r="F138" s="3">
        <f t="shared" si="8"/>
        <v>-0.3</v>
      </c>
      <c r="G138" s="2">
        <v>6500</v>
      </c>
    </row>
    <row r="139" spans="1:7" x14ac:dyDescent="0.2">
      <c r="A139" s="1" t="s">
        <v>129</v>
      </c>
      <c r="B139" s="1" t="s">
        <v>119</v>
      </c>
      <c r="C139" s="2">
        <v>1200</v>
      </c>
      <c r="D139" s="2">
        <f t="shared" si="6"/>
        <v>840</v>
      </c>
      <c r="E139" s="2">
        <f t="shared" si="7"/>
        <v>-360</v>
      </c>
      <c r="F139" s="3">
        <f t="shared" si="8"/>
        <v>-0.3</v>
      </c>
      <c r="G139" s="2">
        <v>1200</v>
      </c>
    </row>
    <row r="140" spans="1:7" x14ac:dyDescent="0.2">
      <c r="A140" s="1" t="s">
        <v>130</v>
      </c>
      <c r="B140" s="1" t="s">
        <v>131</v>
      </c>
      <c r="C140" s="2">
        <v>1500</v>
      </c>
      <c r="D140" s="2">
        <f t="shared" si="6"/>
        <v>1050</v>
      </c>
      <c r="E140" s="2">
        <f t="shared" si="7"/>
        <v>-450</v>
      </c>
      <c r="F140" s="3">
        <f t="shared" si="8"/>
        <v>-0.3</v>
      </c>
      <c r="G140" s="2">
        <v>1500</v>
      </c>
    </row>
    <row r="141" spans="1:7" x14ac:dyDescent="0.2">
      <c r="A141" s="1" t="s">
        <v>132</v>
      </c>
      <c r="B141" s="1" t="s">
        <v>131</v>
      </c>
      <c r="C141" s="2">
        <v>2250</v>
      </c>
      <c r="D141" s="2">
        <f t="shared" si="6"/>
        <v>1575</v>
      </c>
      <c r="E141" s="2">
        <f t="shared" si="7"/>
        <v>-675</v>
      </c>
      <c r="F141" s="3">
        <f t="shared" si="8"/>
        <v>-0.3</v>
      </c>
      <c r="G141" s="2">
        <v>2250</v>
      </c>
    </row>
    <row r="142" spans="1:7" x14ac:dyDescent="0.2">
      <c r="A142" s="1" t="s">
        <v>133</v>
      </c>
      <c r="B142" s="1" t="s">
        <v>131</v>
      </c>
      <c r="C142" s="2">
        <v>750</v>
      </c>
      <c r="D142" s="2">
        <f t="shared" si="6"/>
        <v>525</v>
      </c>
      <c r="E142" s="2">
        <f t="shared" si="7"/>
        <v>-225</v>
      </c>
      <c r="F142" s="3">
        <f t="shared" si="8"/>
        <v>-0.3</v>
      </c>
      <c r="G142" s="2">
        <v>750</v>
      </c>
    </row>
    <row r="143" spans="1:7" x14ac:dyDescent="0.2">
      <c r="A143" s="1" t="s">
        <v>134</v>
      </c>
      <c r="B143" s="1" t="s">
        <v>131</v>
      </c>
      <c r="C143" s="2">
        <v>300</v>
      </c>
      <c r="D143" s="2">
        <f t="shared" si="6"/>
        <v>210</v>
      </c>
      <c r="E143" s="2">
        <f t="shared" si="7"/>
        <v>-90</v>
      </c>
      <c r="F143" s="3">
        <f t="shared" si="8"/>
        <v>-0.3</v>
      </c>
      <c r="G143" s="2">
        <v>300</v>
      </c>
    </row>
    <row r="144" spans="1:7" x14ac:dyDescent="0.2">
      <c r="A144" s="1" t="s">
        <v>135</v>
      </c>
      <c r="B144" s="1" t="s">
        <v>131</v>
      </c>
      <c r="C144" s="2">
        <v>1800</v>
      </c>
      <c r="D144" s="2">
        <f t="shared" si="6"/>
        <v>1260</v>
      </c>
      <c r="E144" s="2">
        <f t="shared" si="7"/>
        <v>-540</v>
      </c>
      <c r="F144" s="3">
        <f t="shared" si="8"/>
        <v>-0.3</v>
      </c>
      <c r="G144" s="2">
        <v>1800</v>
      </c>
    </row>
    <row r="145" spans="1:7" x14ac:dyDescent="0.2">
      <c r="A145" s="1" t="s">
        <v>136</v>
      </c>
      <c r="B145" s="1" t="s">
        <v>131</v>
      </c>
      <c r="C145" s="2">
        <v>1050</v>
      </c>
      <c r="D145" s="2">
        <f t="shared" si="6"/>
        <v>735</v>
      </c>
      <c r="E145" s="2">
        <f t="shared" si="7"/>
        <v>-315</v>
      </c>
      <c r="F145" s="3">
        <f t="shared" si="8"/>
        <v>-0.3</v>
      </c>
      <c r="G145" s="2">
        <v>1050</v>
      </c>
    </row>
    <row r="146" spans="1:7" x14ac:dyDescent="0.2">
      <c r="A146" s="1" t="s">
        <v>137</v>
      </c>
      <c r="B146" s="1" t="s">
        <v>138</v>
      </c>
      <c r="C146" s="2">
        <v>1500</v>
      </c>
      <c r="D146" s="2">
        <f t="shared" si="6"/>
        <v>1050</v>
      </c>
      <c r="E146" s="2">
        <f t="shared" si="7"/>
        <v>-450</v>
      </c>
      <c r="F146" s="3">
        <f t="shared" si="8"/>
        <v>-0.3</v>
      </c>
      <c r="G146" s="2">
        <v>1500</v>
      </c>
    </row>
    <row r="147" spans="1:7" x14ac:dyDescent="0.2">
      <c r="A147" s="1" t="s">
        <v>139</v>
      </c>
      <c r="B147" s="1" t="s">
        <v>138</v>
      </c>
      <c r="C147" s="2">
        <v>2250</v>
      </c>
      <c r="D147" s="2">
        <f t="shared" si="6"/>
        <v>1575</v>
      </c>
      <c r="E147" s="2">
        <f t="shared" si="7"/>
        <v>-675</v>
      </c>
      <c r="F147" s="3">
        <f t="shared" si="8"/>
        <v>-0.3</v>
      </c>
      <c r="G147" s="2">
        <v>2250</v>
      </c>
    </row>
    <row r="148" spans="1:7" x14ac:dyDescent="0.2">
      <c r="A148" s="1" t="s">
        <v>140</v>
      </c>
      <c r="B148" s="1" t="s">
        <v>138</v>
      </c>
      <c r="C148" s="2">
        <v>750</v>
      </c>
      <c r="D148" s="2">
        <f t="shared" si="6"/>
        <v>525</v>
      </c>
      <c r="E148" s="2">
        <f t="shared" si="7"/>
        <v>-225</v>
      </c>
      <c r="F148" s="3">
        <f t="shared" si="8"/>
        <v>-0.3</v>
      </c>
      <c r="G148" s="2">
        <v>750</v>
      </c>
    </row>
    <row r="149" spans="1:7" x14ac:dyDescent="0.2">
      <c r="A149" s="1" t="s">
        <v>141</v>
      </c>
      <c r="B149" s="1" t="s">
        <v>138</v>
      </c>
      <c r="C149" s="2">
        <v>300</v>
      </c>
      <c r="D149" s="2">
        <f t="shared" si="6"/>
        <v>210</v>
      </c>
      <c r="E149" s="2">
        <f t="shared" si="7"/>
        <v>-90</v>
      </c>
      <c r="F149" s="3">
        <f t="shared" si="8"/>
        <v>-0.3</v>
      </c>
      <c r="G149" s="2">
        <v>300</v>
      </c>
    </row>
    <row r="150" spans="1:7" x14ac:dyDescent="0.2">
      <c r="A150" s="1" t="s">
        <v>142</v>
      </c>
      <c r="B150" s="1" t="s">
        <v>138</v>
      </c>
      <c r="C150" s="2">
        <v>1800</v>
      </c>
      <c r="D150" s="2">
        <f t="shared" si="6"/>
        <v>1260</v>
      </c>
      <c r="E150" s="2">
        <f t="shared" si="7"/>
        <v>-540</v>
      </c>
      <c r="F150" s="3">
        <f t="shared" si="8"/>
        <v>-0.3</v>
      </c>
      <c r="G150" s="2">
        <v>1800</v>
      </c>
    </row>
    <row r="151" spans="1:7" x14ac:dyDescent="0.2">
      <c r="A151" s="1" t="s">
        <v>143</v>
      </c>
      <c r="B151" s="1" t="s">
        <v>138</v>
      </c>
      <c r="C151" s="2">
        <v>1050</v>
      </c>
      <c r="D151" s="2">
        <f t="shared" si="6"/>
        <v>735</v>
      </c>
      <c r="E151" s="2">
        <f t="shared" si="7"/>
        <v>-315</v>
      </c>
      <c r="F151" s="3">
        <f t="shared" si="8"/>
        <v>-0.3</v>
      </c>
      <c r="G151" s="2">
        <v>1050</v>
      </c>
    </row>
    <row r="152" spans="1:7" x14ac:dyDescent="0.2">
      <c r="A152" s="1" t="s">
        <v>144</v>
      </c>
      <c r="B152" s="1" t="s">
        <v>145</v>
      </c>
      <c r="C152" s="2">
        <v>130</v>
      </c>
      <c r="D152" s="2">
        <f t="shared" si="6"/>
        <v>91</v>
      </c>
      <c r="E152" s="2">
        <f t="shared" si="7"/>
        <v>-39</v>
      </c>
      <c r="F152" s="3">
        <f t="shared" si="8"/>
        <v>-0.3</v>
      </c>
      <c r="G152" s="2">
        <v>130</v>
      </c>
    </row>
    <row r="153" spans="1:7" x14ac:dyDescent="0.2">
      <c r="A153" s="1" t="s">
        <v>146</v>
      </c>
      <c r="B153" s="1" t="s">
        <v>145</v>
      </c>
      <c r="C153" s="2">
        <v>85</v>
      </c>
      <c r="D153" s="2">
        <f t="shared" si="6"/>
        <v>59.499999999999993</v>
      </c>
      <c r="E153" s="2">
        <f t="shared" si="7"/>
        <v>-25.500000000000007</v>
      </c>
      <c r="F153" s="3">
        <f t="shared" si="8"/>
        <v>-0.3000000000000001</v>
      </c>
      <c r="G153" s="2">
        <v>85</v>
      </c>
    </row>
    <row r="154" spans="1:7" x14ac:dyDescent="0.2">
      <c r="A154" s="1" t="s">
        <v>147</v>
      </c>
      <c r="B154" s="1" t="s">
        <v>145</v>
      </c>
      <c r="C154" s="2">
        <v>225</v>
      </c>
      <c r="D154" s="2">
        <f t="shared" si="6"/>
        <v>157.5</v>
      </c>
      <c r="E154" s="2">
        <f t="shared" si="7"/>
        <v>-67.5</v>
      </c>
      <c r="F154" s="3">
        <f t="shared" si="8"/>
        <v>-0.3</v>
      </c>
      <c r="G154" s="2">
        <v>225</v>
      </c>
    </row>
    <row r="155" spans="1:7" x14ac:dyDescent="0.2">
      <c r="A155" s="1" t="s">
        <v>148</v>
      </c>
      <c r="B155" s="1" t="s">
        <v>145</v>
      </c>
      <c r="C155" s="2">
        <v>175</v>
      </c>
      <c r="D155" s="2">
        <f t="shared" si="6"/>
        <v>122.49999999999999</v>
      </c>
      <c r="E155" s="2">
        <f t="shared" si="7"/>
        <v>-52.500000000000014</v>
      </c>
      <c r="F155" s="3">
        <f t="shared" si="8"/>
        <v>-0.3000000000000001</v>
      </c>
      <c r="G155" s="2">
        <v>175</v>
      </c>
    </row>
    <row r="156" spans="1:7" x14ac:dyDescent="0.2">
      <c r="A156" s="1" t="s">
        <v>149</v>
      </c>
      <c r="B156" s="1" t="s">
        <v>145</v>
      </c>
      <c r="C156" s="2">
        <v>6870</v>
      </c>
      <c r="D156" s="2">
        <f t="shared" si="6"/>
        <v>4809</v>
      </c>
      <c r="E156" s="2">
        <f t="shared" si="7"/>
        <v>-2061</v>
      </c>
      <c r="F156" s="3">
        <f t="shared" si="8"/>
        <v>-0.3</v>
      </c>
      <c r="G156" s="2">
        <v>6870</v>
      </c>
    </row>
    <row r="157" spans="1:7" x14ac:dyDescent="0.2">
      <c r="A157" s="1" t="s">
        <v>150</v>
      </c>
      <c r="B157" s="1" t="s">
        <v>145</v>
      </c>
      <c r="C157" s="2">
        <v>260</v>
      </c>
      <c r="D157" s="2">
        <f t="shared" si="6"/>
        <v>182</v>
      </c>
      <c r="E157" s="2">
        <f t="shared" si="7"/>
        <v>-78</v>
      </c>
      <c r="F157" s="3">
        <f t="shared" si="8"/>
        <v>-0.3</v>
      </c>
      <c r="G157" s="2">
        <v>260</v>
      </c>
    </row>
    <row r="158" spans="1:7" x14ac:dyDescent="0.2">
      <c r="A158" s="1" t="s">
        <v>151</v>
      </c>
      <c r="B158" s="1" t="s">
        <v>145</v>
      </c>
      <c r="C158" s="2">
        <v>145</v>
      </c>
      <c r="D158" s="2">
        <f t="shared" si="6"/>
        <v>101.5</v>
      </c>
      <c r="E158" s="2">
        <f t="shared" si="7"/>
        <v>-43.5</v>
      </c>
      <c r="F158" s="3">
        <f t="shared" si="8"/>
        <v>-0.3</v>
      </c>
      <c r="G158" s="2">
        <v>145</v>
      </c>
    </row>
    <row r="159" spans="1:7" x14ac:dyDescent="0.2">
      <c r="A159" s="1" t="s">
        <v>152</v>
      </c>
      <c r="B159" s="1" t="s">
        <v>153</v>
      </c>
      <c r="C159" s="2">
        <v>650</v>
      </c>
      <c r="D159" s="2">
        <f t="shared" si="6"/>
        <v>454.99999999999994</v>
      </c>
      <c r="E159" s="2">
        <f t="shared" si="7"/>
        <v>-195.00000000000006</v>
      </c>
      <c r="F159" s="3">
        <f t="shared" si="8"/>
        <v>-0.3000000000000001</v>
      </c>
      <c r="G159" s="2">
        <v>650</v>
      </c>
    </row>
    <row r="160" spans="1:7" x14ac:dyDescent="0.2">
      <c r="A160" s="1" t="s">
        <v>154</v>
      </c>
      <c r="B160" s="1" t="s">
        <v>153</v>
      </c>
      <c r="C160" s="2">
        <v>975</v>
      </c>
      <c r="D160" s="2">
        <f t="shared" si="6"/>
        <v>682.5</v>
      </c>
      <c r="E160" s="2">
        <f t="shared" si="7"/>
        <v>-292.5</v>
      </c>
      <c r="F160" s="3">
        <f t="shared" si="8"/>
        <v>-0.3</v>
      </c>
      <c r="G160" s="2">
        <v>975</v>
      </c>
    </row>
    <row r="161" spans="1:7" x14ac:dyDescent="0.2">
      <c r="A161" s="1" t="s">
        <v>155</v>
      </c>
      <c r="B161" s="1" t="s">
        <v>153</v>
      </c>
      <c r="C161" s="2">
        <v>325</v>
      </c>
      <c r="D161" s="2">
        <f t="shared" si="6"/>
        <v>227.49999999999997</v>
      </c>
      <c r="E161" s="2">
        <f t="shared" si="7"/>
        <v>-97.500000000000028</v>
      </c>
      <c r="F161" s="3">
        <f t="shared" si="8"/>
        <v>-0.3000000000000001</v>
      </c>
      <c r="G161" s="2">
        <v>325</v>
      </c>
    </row>
    <row r="162" spans="1:7" x14ac:dyDescent="0.2">
      <c r="A162" s="1" t="s">
        <v>156</v>
      </c>
      <c r="B162" s="1" t="s">
        <v>153</v>
      </c>
      <c r="C162" s="2">
        <v>130</v>
      </c>
      <c r="D162" s="2">
        <f t="shared" si="6"/>
        <v>91</v>
      </c>
      <c r="E162" s="2">
        <f t="shared" si="7"/>
        <v>-39</v>
      </c>
      <c r="F162" s="3">
        <f t="shared" si="8"/>
        <v>-0.3</v>
      </c>
      <c r="G162" s="2">
        <v>130</v>
      </c>
    </row>
    <row r="163" spans="1:7" x14ac:dyDescent="0.2">
      <c r="A163" s="1" t="s">
        <v>157</v>
      </c>
      <c r="B163" s="1" t="s">
        <v>153</v>
      </c>
      <c r="C163" s="2">
        <v>780</v>
      </c>
      <c r="D163" s="2">
        <f t="shared" si="6"/>
        <v>546</v>
      </c>
      <c r="E163" s="2">
        <f t="shared" si="7"/>
        <v>-234</v>
      </c>
      <c r="F163" s="3">
        <f t="shared" si="8"/>
        <v>-0.3</v>
      </c>
      <c r="G163" s="2">
        <v>780</v>
      </c>
    </row>
    <row r="164" spans="1:7" x14ac:dyDescent="0.2">
      <c r="A164" s="1" t="s">
        <v>158</v>
      </c>
      <c r="B164" s="1" t="s">
        <v>153</v>
      </c>
      <c r="C164" s="2">
        <v>455</v>
      </c>
      <c r="D164" s="2">
        <f t="shared" si="6"/>
        <v>318.5</v>
      </c>
      <c r="E164" s="2">
        <f t="shared" si="7"/>
        <v>-136.5</v>
      </c>
      <c r="F164" s="3">
        <f t="shared" si="8"/>
        <v>-0.3</v>
      </c>
      <c r="G164" s="2">
        <v>455</v>
      </c>
    </row>
    <row r="165" spans="1:7" x14ac:dyDescent="0.2">
      <c r="A165" s="1" t="s">
        <v>159</v>
      </c>
      <c r="B165" s="1" t="s">
        <v>160</v>
      </c>
      <c r="C165" s="2">
        <v>13000</v>
      </c>
      <c r="D165" s="2">
        <f t="shared" si="6"/>
        <v>9100</v>
      </c>
      <c r="E165" s="2">
        <f t="shared" si="7"/>
        <v>-3900</v>
      </c>
      <c r="F165" s="3">
        <f t="shared" si="8"/>
        <v>-0.3</v>
      </c>
      <c r="G165" s="2">
        <v>13000</v>
      </c>
    </row>
    <row r="166" spans="1:7" x14ac:dyDescent="0.2">
      <c r="A166" s="1" t="s">
        <v>161</v>
      </c>
      <c r="B166" s="1" t="s">
        <v>162</v>
      </c>
      <c r="C166" s="2">
        <v>65</v>
      </c>
      <c r="D166" s="2">
        <f t="shared" si="6"/>
        <v>45.5</v>
      </c>
      <c r="E166" s="2">
        <f t="shared" si="7"/>
        <v>-19.5</v>
      </c>
      <c r="F166" s="3">
        <f t="shared" si="8"/>
        <v>-0.3</v>
      </c>
      <c r="G166" s="2">
        <v>65</v>
      </c>
    </row>
    <row r="167" spans="1:7" x14ac:dyDescent="0.2">
      <c r="A167" s="1" t="s">
        <v>163</v>
      </c>
      <c r="B167" s="1" t="s">
        <v>162</v>
      </c>
      <c r="C167" s="2">
        <v>8500</v>
      </c>
      <c r="D167" s="2">
        <f t="shared" si="6"/>
        <v>5950</v>
      </c>
      <c r="E167" s="2">
        <f t="shared" si="7"/>
        <v>-2550</v>
      </c>
      <c r="F167" s="3">
        <f t="shared" si="8"/>
        <v>-0.3</v>
      </c>
      <c r="G167" s="2">
        <v>8500</v>
      </c>
    </row>
    <row r="168" spans="1:7" x14ac:dyDescent="0.2">
      <c r="A168" s="1" t="s">
        <v>164</v>
      </c>
      <c r="B168" s="1" t="s">
        <v>162</v>
      </c>
      <c r="C168" s="2">
        <v>3500</v>
      </c>
      <c r="D168" s="2">
        <f t="shared" si="6"/>
        <v>2450</v>
      </c>
      <c r="E168" s="2">
        <f t="shared" si="7"/>
        <v>-1050</v>
      </c>
      <c r="F168" s="3">
        <f t="shared" si="8"/>
        <v>-0.3</v>
      </c>
      <c r="G168" s="2">
        <v>3500</v>
      </c>
    </row>
    <row r="169" spans="1:7" x14ac:dyDescent="0.2">
      <c r="A169" s="1" t="s">
        <v>165</v>
      </c>
      <c r="B169" s="1" t="s">
        <v>162</v>
      </c>
      <c r="C169" s="2">
        <v>7500</v>
      </c>
      <c r="D169" s="2">
        <f t="shared" si="6"/>
        <v>5250</v>
      </c>
      <c r="E169" s="2">
        <f t="shared" si="7"/>
        <v>-2250</v>
      </c>
      <c r="F169" s="3">
        <f t="shared" si="8"/>
        <v>-0.3</v>
      </c>
      <c r="G169" s="2">
        <v>7500</v>
      </c>
    </row>
    <row r="170" spans="1:7" x14ac:dyDescent="0.2">
      <c r="A170" s="1" t="s">
        <v>166</v>
      </c>
      <c r="B170" s="1" t="s">
        <v>162</v>
      </c>
      <c r="C170" s="2">
        <v>35</v>
      </c>
      <c r="D170" s="2">
        <f t="shared" si="6"/>
        <v>24.5</v>
      </c>
      <c r="E170" s="2">
        <f t="shared" si="7"/>
        <v>-10.5</v>
      </c>
      <c r="F170" s="3">
        <f t="shared" si="8"/>
        <v>-0.3</v>
      </c>
      <c r="G170" s="2">
        <v>35</v>
      </c>
    </row>
    <row r="171" spans="1:7" x14ac:dyDescent="0.2">
      <c r="A171" s="1" t="s">
        <v>167</v>
      </c>
      <c r="B171" s="1" t="s">
        <v>162</v>
      </c>
      <c r="C171" s="2">
        <v>65</v>
      </c>
      <c r="D171" s="2">
        <f t="shared" si="6"/>
        <v>45.5</v>
      </c>
      <c r="E171" s="2">
        <f t="shared" si="7"/>
        <v>-19.5</v>
      </c>
      <c r="F171" s="3">
        <f t="shared" si="8"/>
        <v>-0.3</v>
      </c>
      <c r="G171" s="2">
        <v>65</v>
      </c>
    </row>
    <row r="172" spans="1:7" x14ac:dyDescent="0.2">
      <c r="A172" s="1" t="s">
        <v>168</v>
      </c>
      <c r="B172" s="1" t="s">
        <v>162</v>
      </c>
      <c r="C172" s="2">
        <v>48</v>
      </c>
      <c r="D172" s="2">
        <f t="shared" si="6"/>
        <v>33.599999999999994</v>
      </c>
      <c r="E172" s="2">
        <f t="shared" si="7"/>
        <v>-14.400000000000006</v>
      </c>
      <c r="F172" s="3">
        <f t="shared" si="8"/>
        <v>-0.3000000000000001</v>
      </c>
      <c r="G172" s="2">
        <v>48</v>
      </c>
    </row>
    <row r="173" spans="1:7" x14ac:dyDescent="0.2">
      <c r="A173" s="1" t="s">
        <v>169</v>
      </c>
      <c r="B173" s="1" t="s">
        <v>162</v>
      </c>
      <c r="C173" s="2">
        <v>48</v>
      </c>
      <c r="D173" s="2">
        <f t="shared" si="6"/>
        <v>33.599999999999994</v>
      </c>
      <c r="E173" s="2">
        <f t="shared" si="7"/>
        <v>-14.400000000000006</v>
      </c>
      <c r="F173" s="3">
        <f t="shared" si="8"/>
        <v>-0.3000000000000001</v>
      </c>
      <c r="G173" s="2">
        <v>48</v>
      </c>
    </row>
    <row r="174" spans="1:7" x14ac:dyDescent="0.2">
      <c r="A174" s="1" t="s">
        <v>170</v>
      </c>
      <c r="B174" s="1" t="s">
        <v>162</v>
      </c>
      <c r="C174" s="2">
        <v>48</v>
      </c>
      <c r="D174" s="2">
        <f t="shared" si="6"/>
        <v>33.599999999999994</v>
      </c>
      <c r="E174" s="2">
        <f t="shared" si="7"/>
        <v>-14.400000000000006</v>
      </c>
      <c r="F174" s="3">
        <f t="shared" si="8"/>
        <v>-0.3000000000000001</v>
      </c>
      <c r="G174" s="2">
        <v>48</v>
      </c>
    </row>
    <row r="175" spans="1:7" x14ac:dyDescent="0.2">
      <c r="A175" s="1" t="s">
        <v>171</v>
      </c>
      <c r="B175" s="1" t="s">
        <v>162</v>
      </c>
      <c r="C175" s="2">
        <v>35</v>
      </c>
      <c r="D175" s="2">
        <f t="shared" si="6"/>
        <v>24.5</v>
      </c>
      <c r="E175" s="2">
        <f t="shared" si="7"/>
        <v>-10.5</v>
      </c>
      <c r="F175" s="3">
        <f t="shared" si="8"/>
        <v>-0.3</v>
      </c>
      <c r="G175" s="2">
        <v>35</v>
      </c>
    </row>
    <row r="176" spans="1:7" x14ac:dyDescent="0.2">
      <c r="A176" s="1" t="s">
        <v>172</v>
      </c>
      <c r="B176" s="1" t="s">
        <v>162</v>
      </c>
      <c r="C176" s="2">
        <v>75</v>
      </c>
      <c r="D176" s="2">
        <f t="shared" si="6"/>
        <v>52.5</v>
      </c>
      <c r="E176" s="2">
        <f t="shared" si="7"/>
        <v>-22.5</v>
      </c>
      <c r="F176" s="3">
        <f t="shared" si="8"/>
        <v>-0.3</v>
      </c>
      <c r="G176" s="2">
        <v>75</v>
      </c>
    </row>
    <row r="177" spans="1:7" x14ac:dyDescent="0.2">
      <c r="A177" s="1" t="s">
        <v>173</v>
      </c>
      <c r="B177" s="1" t="s">
        <v>174</v>
      </c>
      <c r="C177" s="2">
        <v>100</v>
      </c>
      <c r="D177" s="2">
        <f t="shared" si="6"/>
        <v>70</v>
      </c>
      <c r="E177" s="2">
        <f t="shared" si="7"/>
        <v>-30</v>
      </c>
      <c r="F177" s="3">
        <f t="shared" si="8"/>
        <v>-0.3</v>
      </c>
      <c r="G177" s="2">
        <v>100</v>
      </c>
    </row>
    <row r="178" spans="1:7" x14ac:dyDescent="0.2">
      <c r="A178" s="1" t="s">
        <v>175</v>
      </c>
      <c r="B178" s="1" t="s">
        <v>176</v>
      </c>
      <c r="C178" s="2">
        <v>750</v>
      </c>
      <c r="D178" s="2">
        <f t="shared" si="6"/>
        <v>525</v>
      </c>
      <c r="E178" s="2">
        <f t="shared" si="7"/>
        <v>-225</v>
      </c>
      <c r="F178" s="3">
        <f t="shared" si="8"/>
        <v>-0.3</v>
      </c>
      <c r="G178" s="2">
        <v>750</v>
      </c>
    </row>
    <row r="179" spans="1:7" x14ac:dyDescent="0.2">
      <c r="A179" s="1" t="s">
        <v>177</v>
      </c>
      <c r="B179" s="1" t="s">
        <v>176</v>
      </c>
      <c r="C179" s="2">
        <v>1125</v>
      </c>
      <c r="D179" s="2">
        <f t="shared" si="6"/>
        <v>787.5</v>
      </c>
      <c r="E179" s="2">
        <f t="shared" si="7"/>
        <v>-337.5</v>
      </c>
      <c r="F179" s="3">
        <f t="shared" si="8"/>
        <v>-0.3</v>
      </c>
      <c r="G179" s="2">
        <v>1125</v>
      </c>
    </row>
    <row r="180" spans="1:7" x14ac:dyDescent="0.2">
      <c r="A180" s="1" t="s">
        <v>178</v>
      </c>
      <c r="B180" s="1" t="s">
        <v>176</v>
      </c>
      <c r="C180" s="2">
        <v>375</v>
      </c>
      <c r="D180" s="2">
        <f t="shared" si="6"/>
        <v>262.5</v>
      </c>
      <c r="E180" s="2">
        <f t="shared" si="7"/>
        <v>-112.5</v>
      </c>
      <c r="F180" s="3">
        <f t="shared" si="8"/>
        <v>-0.3</v>
      </c>
      <c r="G180" s="2">
        <v>375</v>
      </c>
    </row>
    <row r="181" spans="1:7" x14ac:dyDescent="0.2">
      <c r="A181" s="1" t="s">
        <v>179</v>
      </c>
      <c r="B181" s="1" t="s">
        <v>176</v>
      </c>
      <c r="C181" s="2">
        <v>150</v>
      </c>
      <c r="D181" s="2">
        <f t="shared" si="6"/>
        <v>105</v>
      </c>
      <c r="E181" s="2">
        <f t="shared" si="7"/>
        <v>-45</v>
      </c>
      <c r="F181" s="3">
        <f t="shared" si="8"/>
        <v>-0.3</v>
      </c>
      <c r="G181" s="2">
        <v>150</v>
      </c>
    </row>
    <row r="182" spans="1:7" x14ac:dyDescent="0.2">
      <c r="A182" s="1" t="s">
        <v>180</v>
      </c>
      <c r="B182" s="1" t="s">
        <v>176</v>
      </c>
      <c r="C182" s="2">
        <v>900</v>
      </c>
      <c r="D182" s="2">
        <f t="shared" si="6"/>
        <v>630</v>
      </c>
      <c r="E182" s="2">
        <f t="shared" si="7"/>
        <v>-270</v>
      </c>
      <c r="F182" s="3">
        <f t="shared" si="8"/>
        <v>-0.3</v>
      </c>
      <c r="G182" s="2">
        <v>900</v>
      </c>
    </row>
    <row r="183" spans="1:7" x14ac:dyDescent="0.2">
      <c r="A183" s="1" t="s">
        <v>181</v>
      </c>
      <c r="B183" s="1" t="s">
        <v>176</v>
      </c>
      <c r="C183" s="2">
        <v>525</v>
      </c>
      <c r="D183" s="2">
        <f t="shared" si="6"/>
        <v>367.5</v>
      </c>
      <c r="E183" s="2">
        <f t="shared" si="7"/>
        <v>-157.5</v>
      </c>
      <c r="F183" s="3">
        <f t="shared" si="8"/>
        <v>-0.3</v>
      </c>
      <c r="G183" s="2">
        <v>525</v>
      </c>
    </row>
    <row r="184" spans="1:7" x14ac:dyDescent="0.2">
      <c r="A184" s="1" t="s">
        <v>182</v>
      </c>
      <c r="B184" s="1" t="s">
        <v>183</v>
      </c>
      <c r="C184" s="2">
        <v>1000</v>
      </c>
      <c r="D184" s="2">
        <f t="shared" si="6"/>
        <v>700</v>
      </c>
      <c r="E184" s="2">
        <f t="shared" si="7"/>
        <v>-300</v>
      </c>
      <c r="F184" s="3">
        <f t="shared" si="8"/>
        <v>-0.3</v>
      </c>
      <c r="G184" s="2">
        <v>1000</v>
      </c>
    </row>
    <row r="185" spans="1:7" x14ac:dyDescent="0.2">
      <c r="A185" s="1" t="s">
        <v>184</v>
      </c>
      <c r="B185" s="1" t="s">
        <v>183</v>
      </c>
      <c r="C185" s="2">
        <v>1500</v>
      </c>
      <c r="D185" s="2">
        <f t="shared" si="6"/>
        <v>1050</v>
      </c>
      <c r="E185" s="2">
        <f t="shared" si="7"/>
        <v>-450</v>
      </c>
      <c r="F185" s="3">
        <f t="shared" si="8"/>
        <v>-0.3</v>
      </c>
      <c r="G185" s="2">
        <v>1500</v>
      </c>
    </row>
    <row r="186" spans="1:7" x14ac:dyDescent="0.2">
      <c r="A186" s="1" t="s">
        <v>185</v>
      </c>
      <c r="B186" s="1" t="s">
        <v>183</v>
      </c>
      <c r="C186" s="2">
        <v>500</v>
      </c>
      <c r="D186" s="2">
        <f t="shared" si="6"/>
        <v>350</v>
      </c>
      <c r="E186" s="2">
        <f t="shared" si="7"/>
        <v>-150</v>
      </c>
      <c r="F186" s="3">
        <f t="shared" si="8"/>
        <v>-0.3</v>
      </c>
      <c r="G186" s="2">
        <v>500</v>
      </c>
    </row>
    <row r="187" spans="1:7" x14ac:dyDescent="0.2">
      <c r="A187" s="1" t="s">
        <v>186</v>
      </c>
      <c r="B187" s="1" t="s">
        <v>183</v>
      </c>
      <c r="C187" s="2">
        <v>200</v>
      </c>
      <c r="D187" s="2">
        <f t="shared" si="6"/>
        <v>140</v>
      </c>
      <c r="E187" s="2">
        <f t="shared" si="7"/>
        <v>-60</v>
      </c>
      <c r="F187" s="3">
        <f t="shared" si="8"/>
        <v>-0.3</v>
      </c>
      <c r="G187" s="2">
        <v>200</v>
      </c>
    </row>
    <row r="188" spans="1:7" x14ac:dyDescent="0.2">
      <c r="A188" s="1" t="s">
        <v>187</v>
      </c>
      <c r="B188" s="1" t="s">
        <v>183</v>
      </c>
      <c r="C188" s="2">
        <v>1200</v>
      </c>
      <c r="D188" s="2">
        <f t="shared" si="6"/>
        <v>840</v>
      </c>
      <c r="E188" s="2">
        <f t="shared" si="7"/>
        <v>-360</v>
      </c>
      <c r="F188" s="3">
        <f t="shared" si="8"/>
        <v>-0.3</v>
      </c>
      <c r="G188" s="2">
        <v>1200</v>
      </c>
    </row>
    <row r="189" spans="1:7" x14ac:dyDescent="0.2">
      <c r="A189" s="1" t="s">
        <v>188</v>
      </c>
      <c r="B189" s="1" t="s">
        <v>183</v>
      </c>
      <c r="C189" s="2">
        <v>700</v>
      </c>
      <c r="D189" s="2">
        <f t="shared" si="6"/>
        <v>489.99999999999994</v>
      </c>
      <c r="E189" s="2">
        <f t="shared" si="7"/>
        <v>-210.00000000000006</v>
      </c>
      <c r="F189" s="3">
        <f t="shared" si="8"/>
        <v>-0.3000000000000001</v>
      </c>
      <c r="G189" s="2">
        <v>700</v>
      </c>
    </row>
    <row r="190" spans="1:7" x14ac:dyDescent="0.2">
      <c r="A190" s="1" t="s">
        <v>189</v>
      </c>
      <c r="B190" s="1" t="s">
        <v>190</v>
      </c>
      <c r="C190" s="2">
        <v>100</v>
      </c>
      <c r="D190" s="2">
        <f t="shared" si="6"/>
        <v>70</v>
      </c>
      <c r="E190" s="2">
        <f t="shared" si="7"/>
        <v>-30</v>
      </c>
      <c r="F190" s="3">
        <f t="shared" si="8"/>
        <v>-0.3</v>
      </c>
      <c r="G190" s="2">
        <v>100</v>
      </c>
    </row>
    <row r="191" spans="1:7" x14ac:dyDescent="0.2">
      <c r="A191" s="1" t="s">
        <v>191</v>
      </c>
      <c r="B191" s="1" t="s">
        <v>190</v>
      </c>
      <c r="C191" s="2">
        <v>5500</v>
      </c>
      <c r="D191" s="2">
        <f t="shared" si="6"/>
        <v>3849.9999999999995</v>
      </c>
      <c r="E191" s="2">
        <f t="shared" si="7"/>
        <v>-1650.0000000000005</v>
      </c>
      <c r="F191" s="3">
        <f t="shared" si="8"/>
        <v>-0.3000000000000001</v>
      </c>
      <c r="G191" s="2">
        <v>5500</v>
      </c>
    </row>
    <row r="192" spans="1:7" x14ac:dyDescent="0.2">
      <c r="A192" s="1" t="s">
        <v>192</v>
      </c>
      <c r="B192" s="1" t="s">
        <v>190</v>
      </c>
      <c r="C192" s="2">
        <v>550</v>
      </c>
      <c r="D192" s="2">
        <f t="shared" si="6"/>
        <v>385</v>
      </c>
      <c r="E192" s="2">
        <f t="shared" si="7"/>
        <v>-165</v>
      </c>
      <c r="F192" s="3">
        <f t="shared" si="8"/>
        <v>-0.3</v>
      </c>
      <c r="G192" s="2">
        <v>550</v>
      </c>
    </row>
    <row r="193" spans="1:7" x14ac:dyDescent="0.2">
      <c r="A193" s="1" t="s">
        <v>193</v>
      </c>
      <c r="B193" s="1" t="s">
        <v>190</v>
      </c>
      <c r="C193" s="2">
        <v>650</v>
      </c>
      <c r="D193" s="2">
        <f t="shared" si="6"/>
        <v>454.99999999999994</v>
      </c>
      <c r="E193" s="2">
        <f t="shared" si="7"/>
        <v>-195.00000000000006</v>
      </c>
      <c r="F193" s="3">
        <f t="shared" si="8"/>
        <v>-0.3000000000000001</v>
      </c>
      <c r="G193" s="2">
        <v>650</v>
      </c>
    </row>
    <row r="194" spans="1:7" x14ac:dyDescent="0.2">
      <c r="A194" s="1" t="s">
        <v>194</v>
      </c>
      <c r="B194" s="1" t="s">
        <v>190</v>
      </c>
      <c r="C194" s="2">
        <v>750</v>
      </c>
      <c r="D194" s="2">
        <f t="shared" si="6"/>
        <v>525</v>
      </c>
      <c r="E194" s="2">
        <f t="shared" si="7"/>
        <v>-225</v>
      </c>
      <c r="F194" s="3">
        <f t="shared" si="8"/>
        <v>-0.3</v>
      </c>
      <c r="G194" s="2">
        <v>750</v>
      </c>
    </row>
    <row r="195" spans="1:7" x14ac:dyDescent="0.2">
      <c r="A195" s="1" t="s">
        <v>195</v>
      </c>
      <c r="B195" s="1" t="s">
        <v>190</v>
      </c>
      <c r="C195" s="2">
        <v>250</v>
      </c>
      <c r="D195" s="2">
        <f t="shared" ref="D195:D258" si="9">C195*0.7</f>
        <v>175</v>
      </c>
      <c r="E195" s="2">
        <f t="shared" ref="E195:E258" si="10">IF(AND(C195&lt;&gt;"",D195&lt;&gt;""),D195-C195,"")</f>
        <v>-75</v>
      </c>
      <c r="F195" s="3">
        <f t="shared" ref="F195:F258" si="11">IF(AND(C195&lt;&gt;"",D195&lt;&gt;"",C195&gt;0),(D195-C195)/C195,"")</f>
        <v>-0.3</v>
      </c>
      <c r="G195" s="2">
        <v>250</v>
      </c>
    </row>
    <row r="196" spans="1:7" x14ac:dyDescent="0.2">
      <c r="A196" s="1" t="s">
        <v>196</v>
      </c>
      <c r="B196" s="1" t="s">
        <v>190</v>
      </c>
      <c r="C196" s="2">
        <v>350</v>
      </c>
      <c r="D196" s="2">
        <f t="shared" si="9"/>
        <v>244.99999999999997</v>
      </c>
      <c r="E196" s="2">
        <f t="shared" si="10"/>
        <v>-105.00000000000003</v>
      </c>
      <c r="F196" s="3">
        <f t="shared" si="11"/>
        <v>-0.3000000000000001</v>
      </c>
      <c r="G196" s="2">
        <v>350</v>
      </c>
    </row>
    <row r="197" spans="1:7" x14ac:dyDescent="0.2">
      <c r="A197" s="1" t="s">
        <v>197</v>
      </c>
      <c r="B197" s="1" t="s">
        <v>190</v>
      </c>
      <c r="C197" s="2">
        <v>350</v>
      </c>
      <c r="D197" s="2">
        <f t="shared" si="9"/>
        <v>244.99999999999997</v>
      </c>
      <c r="E197" s="2">
        <f t="shared" si="10"/>
        <v>-105.00000000000003</v>
      </c>
      <c r="F197" s="3">
        <f t="shared" si="11"/>
        <v>-0.3000000000000001</v>
      </c>
      <c r="G197" s="2">
        <v>350</v>
      </c>
    </row>
    <row r="198" spans="1:7" x14ac:dyDescent="0.2">
      <c r="A198" s="1" t="s">
        <v>198</v>
      </c>
      <c r="B198" s="1" t="s">
        <v>190</v>
      </c>
      <c r="C198" s="2">
        <v>450</v>
      </c>
      <c r="D198" s="2">
        <f t="shared" si="9"/>
        <v>315</v>
      </c>
      <c r="E198" s="2">
        <f t="shared" si="10"/>
        <v>-135</v>
      </c>
      <c r="F198" s="3">
        <f t="shared" si="11"/>
        <v>-0.3</v>
      </c>
      <c r="G198" s="2">
        <v>450</v>
      </c>
    </row>
    <row r="199" spans="1:7" x14ac:dyDescent="0.2">
      <c r="A199" s="1" t="s">
        <v>199</v>
      </c>
      <c r="B199" s="1" t="s">
        <v>190</v>
      </c>
      <c r="C199" s="2">
        <v>250</v>
      </c>
      <c r="D199" s="2">
        <f t="shared" si="9"/>
        <v>175</v>
      </c>
      <c r="E199" s="2">
        <f t="shared" si="10"/>
        <v>-75</v>
      </c>
      <c r="F199" s="3">
        <f t="shared" si="11"/>
        <v>-0.3</v>
      </c>
      <c r="G199" s="2">
        <v>250</v>
      </c>
    </row>
    <row r="200" spans="1:7" x14ac:dyDescent="0.2">
      <c r="A200" s="1" t="s">
        <v>200</v>
      </c>
      <c r="B200" s="1" t="s">
        <v>201</v>
      </c>
      <c r="C200" s="2">
        <v>55</v>
      </c>
      <c r="D200" s="2">
        <f t="shared" si="9"/>
        <v>38.5</v>
      </c>
      <c r="E200" s="2">
        <f t="shared" si="10"/>
        <v>-16.5</v>
      </c>
      <c r="F200" s="3">
        <f t="shared" si="11"/>
        <v>-0.3</v>
      </c>
      <c r="G200" s="2">
        <v>55</v>
      </c>
    </row>
    <row r="201" spans="1:7" x14ac:dyDescent="0.2">
      <c r="A201" s="1" t="s">
        <v>202</v>
      </c>
      <c r="B201" s="1" t="s">
        <v>201</v>
      </c>
      <c r="C201" s="2">
        <v>55</v>
      </c>
      <c r="D201" s="2">
        <f t="shared" si="9"/>
        <v>38.5</v>
      </c>
      <c r="E201" s="2">
        <f t="shared" si="10"/>
        <v>-16.5</v>
      </c>
      <c r="F201" s="3">
        <f t="shared" si="11"/>
        <v>-0.3</v>
      </c>
      <c r="G201" s="2">
        <v>55</v>
      </c>
    </row>
    <row r="202" spans="1:7" x14ac:dyDescent="0.2">
      <c r="A202" s="1" t="s">
        <v>203</v>
      </c>
      <c r="B202" s="1" t="s">
        <v>201</v>
      </c>
      <c r="C202" s="2">
        <v>55</v>
      </c>
      <c r="D202" s="2">
        <f t="shared" si="9"/>
        <v>38.5</v>
      </c>
      <c r="E202" s="2">
        <f t="shared" si="10"/>
        <v>-16.5</v>
      </c>
      <c r="F202" s="3">
        <f t="shared" si="11"/>
        <v>-0.3</v>
      </c>
      <c r="G202" s="2">
        <v>55</v>
      </c>
    </row>
    <row r="203" spans="1:7" x14ac:dyDescent="0.2">
      <c r="A203" s="1" t="s">
        <v>204</v>
      </c>
      <c r="B203" s="1" t="s">
        <v>201</v>
      </c>
      <c r="C203" s="2">
        <v>55</v>
      </c>
      <c r="D203" s="2">
        <f t="shared" si="9"/>
        <v>38.5</v>
      </c>
      <c r="E203" s="2">
        <f t="shared" si="10"/>
        <v>-16.5</v>
      </c>
      <c r="F203" s="3">
        <f t="shared" si="11"/>
        <v>-0.3</v>
      </c>
      <c r="G203" s="2">
        <v>55</v>
      </c>
    </row>
    <row r="204" spans="1:7" x14ac:dyDescent="0.2">
      <c r="A204" s="1" t="s">
        <v>205</v>
      </c>
      <c r="B204" s="1" t="s">
        <v>201</v>
      </c>
      <c r="C204" s="2">
        <v>55</v>
      </c>
      <c r="D204" s="2">
        <f t="shared" si="9"/>
        <v>38.5</v>
      </c>
      <c r="E204" s="2">
        <f t="shared" si="10"/>
        <v>-16.5</v>
      </c>
      <c r="F204" s="3">
        <f t="shared" si="11"/>
        <v>-0.3</v>
      </c>
      <c r="G204" s="2">
        <v>55</v>
      </c>
    </row>
    <row r="205" spans="1:7" x14ac:dyDescent="0.2">
      <c r="A205" s="1" t="s">
        <v>206</v>
      </c>
      <c r="B205" s="1" t="s">
        <v>201</v>
      </c>
      <c r="C205" s="2">
        <v>55</v>
      </c>
      <c r="D205" s="2">
        <f t="shared" si="9"/>
        <v>38.5</v>
      </c>
      <c r="E205" s="2">
        <f t="shared" si="10"/>
        <v>-16.5</v>
      </c>
      <c r="F205" s="3">
        <f t="shared" si="11"/>
        <v>-0.3</v>
      </c>
      <c r="G205" s="2">
        <v>55</v>
      </c>
    </row>
    <row r="206" spans="1:7" x14ac:dyDescent="0.2">
      <c r="A206" s="1" t="s">
        <v>207</v>
      </c>
      <c r="B206" s="1" t="s">
        <v>201</v>
      </c>
      <c r="C206" s="2">
        <v>55</v>
      </c>
      <c r="D206" s="2">
        <f t="shared" si="9"/>
        <v>38.5</v>
      </c>
      <c r="E206" s="2">
        <f t="shared" si="10"/>
        <v>-16.5</v>
      </c>
      <c r="F206" s="3">
        <f t="shared" si="11"/>
        <v>-0.3</v>
      </c>
      <c r="G206" s="2">
        <v>55</v>
      </c>
    </row>
    <row r="207" spans="1:7" x14ac:dyDescent="0.2">
      <c r="A207" s="1" t="s">
        <v>208</v>
      </c>
      <c r="B207" s="1" t="s">
        <v>201</v>
      </c>
      <c r="C207" s="2">
        <v>55</v>
      </c>
      <c r="D207" s="2">
        <f t="shared" si="9"/>
        <v>38.5</v>
      </c>
      <c r="E207" s="2">
        <f t="shared" si="10"/>
        <v>-16.5</v>
      </c>
      <c r="F207" s="3">
        <f t="shared" si="11"/>
        <v>-0.3</v>
      </c>
      <c r="G207" s="2">
        <v>55</v>
      </c>
    </row>
    <row r="208" spans="1:7" x14ac:dyDescent="0.2">
      <c r="A208" s="1" t="s">
        <v>209</v>
      </c>
      <c r="B208" s="1" t="s">
        <v>201</v>
      </c>
      <c r="C208" s="2">
        <v>55</v>
      </c>
      <c r="D208" s="2">
        <f t="shared" si="9"/>
        <v>38.5</v>
      </c>
      <c r="E208" s="2">
        <f t="shared" si="10"/>
        <v>-16.5</v>
      </c>
      <c r="F208" s="3">
        <f t="shared" si="11"/>
        <v>-0.3</v>
      </c>
      <c r="G208" s="2">
        <v>55</v>
      </c>
    </row>
    <row r="209" spans="1:7" x14ac:dyDescent="0.2">
      <c r="A209" s="1" t="s">
        <v>210</v>
      </c>
      <c r="B209" s="1" t="s">
        <v>201</v>
      </c>
      <c r="C209" s="2">
        <v>55</v>
      </c>
      <c r="D209" s="2">
        <f t="shared" si="9"/>
        <v>38.5</v>
      </c>
      <c r="E209" s="2">
        <f t="shared" si="10"/>
        <v>-16.5</v>
      </c>
      <c r="F209" s="3">
        <f t="shared" si="11"/>
        <v>-0.3</v>
      </c>
      <c r="G209" s="2">
        <v>55</v>
      </c>
    </row>
    <row r="210" spans="1:7" x14ac:dyDescent="0.2">
      <c r="A210" s="1" t="s">
        <v>211</v>
      </c>
      <c r="B210" s="1" t="s">
        <v>201</v>
      </c>
      <c r="C210" s="2">
        <v>55</v>
      </c>
      <c r="D210" s="2">
        <f t="shared" si="9"/>
        <v>38.5</v>
      </c>
      <c r="E210" s="2">
        <f t="shared" si="10"/>
        <v>-16.5</v>
      </c>
      <c r="F210" s="3">
        <f t="shared" si="11"/>
        <v>-0.3</v>
      </c>
      <c r="G210" s="2">
        <v>55</v>
      </c>
    </row>
    <row r="211" spans="1:7" x14ac:dyDescent="0.2">
      <c r="A211" s="1" t="s">
        <v>212</v>
      </c>
      <c r="B211" s="1" t="s">
        <v>201</v>
      </c>
      <c r="C211" s="2">
        <v>55</v>
      </c>
      <c r="D211" s="2">
        <f t="shared" si="9"/>
        <v>38.5</v>
      </c>
      <c r="E211" s="2">
        <f t="shared" si="10"/>
        <v>-16.5</v>
      </c>
      <c r="F211" s="3">
        <f t="shared" si="11"/>
        <v>-0.3</v>
      </c>
      <c r="G211" s="2">
        <v>55</v>
      </c>
    </row>
    <row r="212" spans="1:7" x14ac:dyDescent="0.2">
      <c r="A212" s="1" t="s">
        <v>213</v>
      </c>
      <c r="B212" s="1" t="s">
        <v>201</v>
      </c>
      <c r="C212" s="2">
        <v>55</v>
      </c>
      <c r="D212" s="2">
        <f t="shared" si="9"/>
        <v>38.5</v>
      </c>
      <c r="E212" s="2">
        <f t="shared" si="10"/>
        <v>-16.5</v>
      </c>
      <c r="F212" s="3">
        <f t="shared" si="11"/>
        <v>-0.3</v>
      </c>
      <c r="G212" s="2">
        <v>55</v>
      </c>
    </row>
    <row r="213" spans="1:7" x14ac:dyDescent="0.2">
      <c r="A213" s="1" t="s">
        <v>214</v>
      </c>
      <c r="B213" s="1" t="s">
        <v>201</v>
      </c>
      <c r="C213" s="2">
        <v>55</v>
      </c>
      <c r="D213" s="2">
        <f t="shared" si="9"/>
        <v>38.5</v>
      </c>
      <c r="E213" s="2">
        <f t="shared" si="10"/>
        <v>-16.5</v>
      </c>
      <c r="F213" s="3">
        <f t="shared" si="11"/>
        <v>-0.3</v>
      </c>
      <c r="G213" s="2">
        <v>55</v>
      </c>
    </row>
    <row r="214" spans="1:7" x14ac:dyDescent="0.2">
      <c r="A214" s="1" t="s">
        <v>215</v>
      </c>
      <c r="B214" s="1" t="s">
        <v>201</v>
      </c>
      <c r="C214" s="2">
        <v>55</v>
      </c>
      <c r="D214" s="2">
        <f t="shared" si="9"/>
        <v>38.5</v>
      </c>
      <c r="E214" s="2">
        <f t="shared" si="10"/>
        <v>-16.5</v>
      </c>
      <c r="F214" s="3">
        <f t="shared" si="11"/>
        <v>-0.3</v>
      </c>
      <c r="G214" s="2">
        <v>55</v>
      </c>
    </row>
    <row r="215" spans="1:7" x14ac:dyDescent="0.2">
      <c r="A215" s="1" t="s">
        <v>216</v>
      </c>
      <c r="B215" s="1" t="s">
        <v>201</v>
      </c>
      <c r="C215" s="2">
        <v>55</v>
      </c>
      <c r="D215" s="2">
        <f t="shared" si="9"/>
        <v>38.5</v>
      </c>
      <c r="E215" s="2">
        <f t="shared" si="10"/>
        <v>-16.5</v>
      </c>
      <c r="F215" s="3">
        <f t="shared" si="11"/>
        <v>-0.3</v>
      </c>
      <c r="G215" s="2">
        <v>55</v>
      </c>
    </row>
    <row r="216" spans="1:7" x14ac:dyDescent="0.2">
      <c r="A216" s="1" t="s">
        <v>217</v>
      </c>
      <c r="B216" s="1" t="s">
        <v>201</v>
      </c>
      <c r="C216" s="2">
        <v>55</v>
      </c>
      <c r="D216" s="2">
        <f t="shared" si="9"/>
        <v>38.5</v>
      </c>
      <c r="E216" s="2">
        <f t="shared" si="10"/>
        <v>-16.5</v>
      </c>
      <c r="F216" s="3">
        <f t="shared" si="11"/>
        <v>-0.3</v>
      </c>
      <c r="G216" s="2">
        <v>55</v>
      </c>
    </row>
    <row r="217" spans="1:7" x14ac:dyDescent="0.2">
      <c r="A217" s="1" t="s">
        <v>218</v>
      </c>
      <c r="B217" s="1" t="s">
        <v>201</v>
      </c>
      <c r="C217" s="2">
        <v>55</v>
      </c>
      <c r="D217" s="2">
        <f t="shared" si="9"/>
        <v>38.5</v>
      </c>
      <c r="E217" s="2">
        <f t="shared" si="10"/>
        <v>-16.5</v>
      </c>
      <c r="F217" s="3">
        <f t="shared" si="11"/>
        <v>-0.3</v>
      </c>
      <c r="G217" s="2">
        <v>55</v>
      </c>
    </row>
    <row r="218" spans="1:7" x14ac:dyDescent="0.2">
      <c r="A218" s="1" t="s">
        <v>219</v>
      </c>
      <c r="B218" s="1" t="s">
        <v>201</v>
      </c>
      <c r="C218" s="2">
        <v>55</v>
      </c>
      <c r="D218" s="2">
        <f t="shared" si="9"/>
        <v>38.5</v>
      </c>
      <c r="E218" s="2">
        <f t="shared" si="10"/>
        <v>-16.5</v>
      </c>
      <c r="F218" s="3">
        <f t="shared" si="11"/>
        <v>-0.3</v>
      </c>
      <c r="G218" s="2">
        <v>55</v>
      </c>
    </row>
    <row r="219" spans="1:7" x14ac:dyDescent="0.2">
      <c r="A219" s="1" t="s">
        <v>220</v>
      </c>
      <c r="B219" s="1" t="s">
        <v>201</v>
      </c>
      <c r="C219" s="2">
        <v>55</v>
      </c>
      <c r="D219" s="2">
        <f t="shared" si="9"/>
        <v>38.5</v>
      </c>
      <c r="E219" s="2">
        <f t="shared" si="10"/>
        <v>-16.5</v>
      </c>
      <c r="F219" s="3">
        <f t="shared" si="11"/>
        <v>-0.3</v>
      </c>
      <c r="G219" s="2">
        <v>55</v>
      </c>
    </row>
    <row r="220" spans="1:7" x14ac:dyDescent="0.2">
      <c r="A220" s="1" t="s">
        <v>221</v>
      </c>
      <c r="B220" s="1" t="s">
        <v>201</v>
      </c>
      <c r="C220" s="2">
        <v>55</v>
      </c>
      <c r="D220" s="2">
        <f t="shared" si="9"/>
        <v>38.5</v>
      </c>
      <c r="E220" s="2">
        <f t="shared" si="10"/>
        <v>-16.5</v>
      </c>
      <c r="F220" s="3">
        <f t="shared" si="11"/>
        <v>-0.3</v>
      </c>
      <c r="G220" s="2">
        <v>55</v>
      </c>
    </row>
    <row r="221" spans="1:7" x14ac:dyDescent="0.2">
      <c r="A221" s="1" t="s">
        <v>222</v>
      </c>
      <c r="B221" s="1" t="s">
        <v>201</v>
      </c>
      <c r="C221" s="2">
        <v>55</v>
      </c>
      <c r="D221" s="2">
        <f t="shared" si="9"/>
        <v>38.5</v>
      </c>
      <c r="E221" s="2">
        <f t="shared" si="10"/>
        <v>-16.5</v>
      </c>
      <c r="F221" s="3">
        <f t="shared" si="11"/>
        <v>-0.3</v>
      </c>
      <c r="G221" s="2">
        <v>55</v>
      </c>
    </row>
    <row r="222" spans="1:7" x14ac:dyDescent="0.2">
      <c r="A222" s="1" t="s">
        <v>223</v>
      </c>
      <c r="B222" s="1" t="s">
        <v>201</v>
      </c>
      <c r="C222" s="2">
        <v>55</v>
      </c>
      <c r="D222" s="2">
        <f t="shared" si="9"/>
        <v>38.5</v>
      </c>
      <c r="E222" s="2">
        <f t="shared" si="10"/>
        <v>-16.5</v>
      </c>
      <c r="F222" s="3">
        <f t="shared" si="11"/>
        <v>-0.3</v>
      </c>
      <c r="G222" s="2">
        <v>55</v>
      </c>
    </row>
    <row r="223" spans="1:7" x14ac:dyDescent="0.2">
      <c r="A223" s="1" t="s">
        <v>224</v>
      </c>
      <c r="B223" s="1" t="s">
        <v>201</v>
      </c>
      <c r="C223" s="2">
        <v>55</v>
      </c>
      <c r="D223" s="2">
        <f t="shared" si="9"/>
        <v>38.5</v>
      </c>
      <c r="E223" s="2">
        <f t="shared" si="10"/>
        <v>-16.5</v>
      </c>
      <c r="F223" s="3">
        <f t="shared" si="11"/>
        <v>-0.3</v>
      </c>
      <c r="G223" s="2">
        <v>55</v>
      </c>
    </row>
    <row r="224" spans="1:7" x14ac:dyDescent="0.2">
      <c r="A224" s="1" t="s">
        <v>225</v>
      </c>
      <c r="B224" s="1" t="s">
        <v>201</v>
      </c>
      <c r="C224" s="2">
        <v>55</v>
      </c>
      <c r="D224" s="2">
        <f t="shared" si="9"/>
        <v>38.5</v>
      </c>
      <c r="E224" s="2">
        <f t="shared" si="10"/>
        <v>-16.5</v>
      </c>
      <c r="F224" s="3">
        <f t="shared" si="11"/>
        <v>-0.3</v>
      </c>
      <c r="G224" s="2">
        <v>55</v>
      </c>
    </row>
    <row r="225" spans="1:7" x14ac:dyDescent="0.2">
      <c r="A225" s="1" t="s">
        <v>226</v>
      </c>
      <c r="B225" s="1" t="s">
        <v>201</v>
      </c>
      <c r="C225" s="2">
        <v>55</v>
      </c>
      <c r="D225" s="2">
        <f t="shared" si="9"/>
        <v>38.5</v>
      </c>
      <c r="E225" s="2">
        <f t="shared" si="10"/>
        <v>-16.5</v>
      </c>
      <c r="F225" s="3">
        <f t="shared" si="11"/>
        <v>-0.3</v>
      </c>
      <c r="G225" s="2">
        <v>55</v>
      </c>
    </row>
    <row r="226" spans="1:7" x14ac:dyDescent="0.2">
      <c r="A226" s="1" t="s">
        <v>227</v>
      </c>
      <c r="B226" s="1" t="s">
        <v>201</v>
      </c>
      <c r="C226" s="2">
        <v>55</v>
      </c>
      <c r="D226" s="2">
        <f t="shared" si="9"/>
        <v>38.5</v>
      </c>
      <c r="E226" s="2">
        <f t="shared" si="10"/>
        <v>-16.5</v>
      </c>
      <c r="F226" s="3">
        <f t="shared" si="11"/>
        <v>-0.3</v>
      </c>
      <c r="G226" s="2">
        <v>55</v>
      </c>
    </row>
    <row r="227" spans="1:7" x14ac:dyDescent="0.2">
      <c r="A227" s="1" t="s">
        <v>228</v>
      </c>
      <c r="B227" s="1" t="s">
        <v>201</v>
      </c>
      <c r="C227" s="2">
        <v>55</v>
      </c>
      <c r="D227" s="2">
        <f t="shared" si="9"/>
        <v>38.5</v>
      </c>
      <c r="E227" s="2">
        <f t="shared" si="10"/>
        <v>-16.5</v>
      </c>
      <c r="F227" s="3">
        <f t="shared" si="11"/>
        <v>-0.3</v>
      </c>
      <c r="G227" s="2">
        <v>55</v>
      </c>
    </row>
    <row r="228" spans="1:7" x14ac:dyDescent="0.2">
      <c r="A228" s="1" t="s">
        <v>229</v>
      </c>
      <c r="B228" s="1" t="s">
        <v>201</v>
      </c>
      <c r="C228" s="2">
        <v>55</v>
      </c>
      <c r="D228" s="2">
        <f t="shared" si="9"/>
        <v>38.5</v>
      </c>
      <c r="E228" s="2">
        <f t="shared" si="10"/>
        <v>-16.5</v>
      </c>
      <c r="F228" s="3">
        <f t="shared" si="11"/>
        <v>-0.3</v>
      </c>
      <c r="G228" s="2">
        <v>55</v>
      </c>
    </row>
    <row r="229" spans="1:7" x14ac:dyDescent="0.2">
      <c r="A229" s="1" t="s">
        <v>230</v>
      </c>
      <c r="B229" s="1" t="s">
        <v>201</v>
      </c>
      <c r="C229" s="2">
        <v>55</v>
      </c>
      <c r="D229" s="2">
        <f t="shared" si="9"/>
        <v>38.5</v>
      </c>
      <c r="E229" s="2">
        <f t="shared" si="10"/>
        <v>-16.5</v>
      </c>
      <c r="F229" s="3">
        <f t="shared" si="11"/>
        <v>-0.3</v>
      </c>
      <c r="G229" s="2">
        <v>55</v>
      </c>
    </row>
    <row r="230" spans="1:7" x14ac:dyDescent="0.2">
      <c r="A230" s="1" t="s">
        <v>231</v>
      </c>
      <c r="B230" s="1" t="s">
        <v>232</v>
      </c>
      <c r="C230" s="2">
        <v>2200</v>
      </c>
      <c r="D230" s="2">
        <f t="shared" si="9"/>
        <v>1540</v>
      </c>
      <c r="E230" s="2">
        <f t="shared" si="10"/>
        <v>-660</v>
      </c>
      <c r="F230" s="3">
        <f t="shared" si="11"/>
        <v>-0.3</v>
      </c>
      <c r="G230" s="2">
        <v>2200</v>
      </c>
    </row>
    <row r="231" spans="1:7" x14ac:dyDescent="0.2">
      <c r="A231" s="1" t="s">
        <v>233</v>
      </c>
      <c r="B231" s="1" t="s">
        <v>232</v>
      </c>
      <c r="C231" s="2">
        <v>3300</v>
      </c>
      <c r="D231" s="2">
        <f t="shared" si="9"/>
        <v>2310</v>
      </c>
      <c r="E231" s="2">
        <f t="shared" si="10"/>
        <v>-990</v>
      </c>
      <c r="F231" s="3">
        <f t="shared" si="11"/>
        <v>-0.3</v>
      </c>
      <c r="G231" s="2">
        <v>3300</v>
      </c>
    </row>
    <row r="232" spans="1:7" x14ac:dyDescent="0.2">
      <c r="A232" s="1" t="s">
        <v>234</v>
      </c>
      <c r="B232" s="1" t="s">
        <v>232</v>
      </c>
      <c r="C232" s="2">
        <v>1100</v>
      </c>
      <c r="D232" s="2">
        <f t="shared" si="9"/>
        <v>770</v>
      </c>
      <c r="E232" s="2">
        <f t="shared" si="10"/>
        <v>-330</v>
      </c>
      <c r="F232" s="3">
        <f t="shared" si="11"/>
        <v>-0.3</v>
      </c>
      <c r="G232" s="2">
        <v>1100</v>
      </c>
    </row>
    <row r="233" spans="1:7" x14ac:dyDescent="0.2">
      <c r="A233" s="1" t="s">
        <v>235</v>
      </c>
      <c r="B233" s="1" t="s">
        <v>232</v>
      </c>
      <c r="C233" s="2">
        <v>440</v>
      </c>
      <c r="D233" s="2">
        <f t="shared" si="9"/>
        <v>308</v>
      </c>
      <c r="E233" s="2">
        <f t="shared" si="10"/>
        <v>-132</v>
      </c>
      <c r="F233" s="3">
        <f t="shared" si="11"/>
        <v>-0.3</v>
      </c>
      <c r="G233" s="2">
        <v>440</v>
      </c>
    </row>
    <row r="234" spans="1:7" x14ac:dyDescent="0.2">
      <c r="A234" s="1" t="s">
        <v>236</v>
      </c>
      <c r="B234" s="1" t="s">
        <v>232</v>
      </c>
      <c r="C234" s="2">
        <v>2640</v>
      </c>
      <c r="D234" s="2">
        <f t="shared" si="9"/>
        <v>1847.9999999999998</v>
      </c>
      <c r="E234" s="2">
        <f t="shared" si="10"/>
        <v>-792.00000000000023</v>
      </c>
      <c r="F234" s="3">
        <f t="shared" si="11"/>
        <v>-0.3000000000000001</v>
      </c>
      <c r="G234" s="2">
        <v>2640</v>
      </c>
    </row>
    <row r="235" spans="1:7" x14ac:dyDescent="0.2">
      <c r="A235" s="1" t="s">
        <v>237</v>
      </c>
      <c r="B235" s="1" t="s">
        <v>232</v>
      </c>
      <c r="C235" s="2">
        <v>1540</v>
      </c>
      <c r="D235" s="2">
        <f t="shared" si="9"/>
        <v>1078</v>
      </c>
      <c r="E235" s="2">
        <f t="shared" si="10"/>
        <v>-462</v>
      </c>
      <c r="F235" s="3">
        <f t="shared" si="11"/>
        <v>-0.3</v>
      </c>
      <c r="G235" s="2">
        <v>1540</v>
      </c>
    </row>
    <row r="236" spans="1:7" x14ac:dyDescent="0.2">
      <c r="A236" s="1" t="s">
        <v>238</v>
      </c>
      <c r="B236" s="1" t="s">
        <v>239</v>
      </c>
      <c r="C236" s="2">
        <v>1200</v>
      </c>
      <c r="D236" s="2">
        <f t="shared" si="9"/>
        <v>840</v>
      </c>
      <c r="E236" s="2">
        <f t="shared" si="10"/>
        <v>-360</v>
      </c>
      <c r="F236" s="3">
        <f t="shared" si="11"/>
        <v>-0.3</v>
      </c>
      <c r="G236" s="2">
        <v>1200</v>
      </c>
    </row>
    <row r="237" spans="1:7" x14ac:dyDescent="0.2">
      <c r="A237" s="1" t="s">
        <v>240</v>
      </c>
      <c r="B237" s="1" t="s">
        <v>239</v>
      </c>
      <c r="C237" s="2">
        <v>1800</v>
      </c>
      <c r="D237" s="2">
        <f t="shared" si="9"/>
        <v>1260</v>
      </c>
      <c r="E237" s="2">
        <f t="shared" si="10"/>
        <v>-540</v>
      </c>
      <c r="F237" s="3">
        <f t="shared" si="11"/>
        <v>-0.3</v>
      </c>
      <c r="G237" s="2">
        <v>1800</v>
      </c>
    </row>
    <row r="238" spans="1:7" x14ac:dyDescent="0.2">
      <c r="A238" s="1" t="s">
        <v>241</v>
      </c>
      <c r="B238" s="1" t="s">
        <v>239</v>
      </c>
      <c r="C238" s="2">
        <v>600</v>
      </c>
      <c r="D238" s="2">
        <f t="shared" si="9"/>
        <v>420</v>
      </c>
      <c r="E238" s="2">
        <f t="shared" si="10"/>
        <v>-180</v>
      </c>
      <c r="F238" s="3">
        <f t="shared" si="11"/>
        <v>-0.3</v>
      </c>
      <c r="G238" s="2">
        <v>600</v>
      </c>
    </row>
    <row r="239" spans="1:7" x14ac:dyDescent="0.2">
      <c r="A239" s="1" t="s">
        <v>242</v>
      </c>
      <c r="B239" s="1" t="s">
        <v>239</v>
      </c>
      <c r="C239" s="2">
        <v>240</v>
      </c>
      <c r="D239" s="2">
        <f t="shared" si="9"/>
        <v>168</v>
      </c>
      <c r="E239" s="2">
        <f t="shared" si="10"/>
        <v>-72</v>
      </c>
      <c r="F239" s="3">
        <f t="shared" si="11"/>
        <v>-0.3</v>
      </c>
      <c r="G239" s="2">
        <v>240</v>
      </c>
    </row>
    <row r="240" spans="1:7" x14ac:dyDescent="0.2">
      <c r="A240" s="1" t="s">
        <v>243</v>
      </c>
      <c r="B240" s="1" t="s">
        <v>239</v>
      </c>
      <c r="C240" s="2">
        <v>1440</v>
      </c>
      <c r="D240" s="2">
        <f t="shared" si="9"/>
        <v>1007.9999999999999</v>
      </c>
      <c r="E240" s="2">
        <f t="shared" si="10"/>
        <v>-432.00000000000011</v>
      </c>
      <c r="F240" s="3">
        <f t="shared" si="11"/>
        <v>-0.3000000000000001</v>
      </c>
      <c r="G240" s="2">
        <v>1440</v>
      </c>
    </row>
    <row r="241" spans="1:7" x14ac:dyDescent="0.2">
      <c r="A241" s="1" t="s">
        <v>244</v>
      </c>
      <c r="B241" s="1" t="s">
        <v>239</v>
      </c>
      <c r="C241" s="2">
        <v>840</v>
      </c>
      <c r="D241" s="2">
        <f t="shared" si="9"/>
        <v>588</v>
      </c>
      <c r="E241" s="2">
        <f t="shared" si="10"/>
        <v>-252</v>
      </c>
      <c r="F241" s="3">
        <f t="shared" si="11"/>
        <v>-0.3</v>
      </c>
      <c r="G241" s="2">
        <v>840</v>
      </c>
    </row>
    <row r="242" spans="1:7" x14ac:dyDescent="0.2">
      <c r="A242" s="1" t="s">
        <v>245</v>
      </c>
      <c r="B242" s="1" t="s">
        <v>246</v>
      </c>
      <c r="C242" s="2">
        <v>850</v>
      </c>
      <c r="D242" s="2">
        <f t="shared" si="9"/>
        <v>595</v>
      </c>
      <c r="E242" s="2">
        <f t="shared" si="10"/>
        <v>-255</v>
      </c>
      <c r="F242" s="3">
        <f t="shared" si="11"/>
        <v>-0.3</v>
      </c>
      <c r="G242" s="2">
        <v>850</v>
      </c>
    </row>
    <row r="243" spans="1:7" x14ac:dyDescent="0.2">
      <c r="A243" s="1" t="s">
        <v>247</v>
      </c>
      <c r="B243" s="1" t="s">
        <v>246</v>
      </c>
      <c r="C243" s="2">
        <v>1275</v>
      </c>
      <c r="D243" s="2">
        <f t="shared" si="9"/>
        <v>892.5</v>
      </c>
      <c r="E243" s="2">
        <f t="shared" si="10"/>
        <v>-382.5</v>
      </c>
      <c r="F243" s="3">
        <f t="shared" si="11"/>
        <v>-0.3</v>
      </c>
      <c r="G243" s="2">
        <v>1275</v>
      </c>
    </row>
    <row r="244" spans="1:7" x14ac:dyDescent="0.2">
      <c r="A244" s="1" t="s">
        <v>248</v>
      </c>
      <c r="B244" s="1" t="s">
        <v>246</v>
      </c>
      <c r="C244" s="2">
        <v>425</v>
      </c>
      <c r="D244" s="2">
        <f t="shared" si="9"/>
        <v>297.5</v>
      </c>
      <c r="E244" s="2">
        <f t="shared" si="10"/>
        <v>-127.5</v>
      </c>
      <c r="F244" s="3">
        <f t="shared" si="11"/>
        <v>-0.3</v>
      </c>
      <c r="G244" s="2">
        <v>425</v>
      </c>
    </row>
    <row r="245" spans="1:7" x14ac:dyDescent="0.2">
      <c r="A245" s="1" t="s">
        <v>249</v>
      </c>
      <c r="B245" s="1" t="s">
        <v>246</v>
      </c>
      <c r="C245" s="2">
        <v>170</v>
      </c>
      <c r="D245" s="2">
        <f t="shared" si="9"/>
        <v>118.99999999999999</v>
      </c>
      <c r="E245" s="2">
        <f t="shared" si="10"/>
        <v>-51.000000000000014</v>
      </c>
      <c r="F245" s="3">
        <f t="shared" si="11"/>
        <v>-0.3000000000000001</v>
      </c>
      <c r="G245" s="2">
        <v>170</v>
      </c>
    </row>
    <row r="246" spans="1:7" x14ac:dyDescent="0.2">
      <c r="A246" s="1" t="s">
        <v>250</v>
      </c>
      <c r="B246" s="1" t="s">
        <v>246</v>
      </c>
      <c r="C246" s="2">
        <v>1020</v>
      </c>
      <c r="D246" s="2">
        <f t="shared" si="9"/>
        <v>714</v>
      </c>
      <c r="E246" s="2">
        <f t="shared" si="10"/>
        <v>-306</v>
      </c>
      <c r="F246" s="3">
        <f t="shared" si="11"/>
        <v>-0.3</v>
      </c>
      <c r="G246" s="2">
        <v>1020</v>
      </c>
    </row>
    <row r="247" spans="1:7" x14ac:dyDescent="0.2">
      <c r="A247" s="1" t="s">
        <v>251</v>
      </c>
      <c r="B247" s="1" t="s">
        <v>246</v>
      </c>
      <c r="C247" s="2">
        <v>595</v>
      </c>
      <c r="D247" s="2">
        <f t="shared" si="9"/>
        <v>416.5</v>
      </c>
      <c r="E247" s="2">
        <f t="shared" si="10"/>
        <v>-178.5</v>
      </c>
      <c r="F247" s="3">
        <f t="shared" si="11"/>
        <v>-0.3</v>
      </c>
      <c r="G247" s="2">
        <v>595</v>
      </c>
    </row>
    <row r="248" spans="1:7" x14ac:dyDescent="0.2">
      <c r="A248" s="1" t="s">
        <v>252</v>
      </c>
      <c r="B248" s="1" t="s">
        <v>253</v>
      </c>
      <c r="C248" s="2">
        <v>140</v>
      </c>
      <c r="D248" s="2">
        <f t="shared" si="9"/>
        <v>98</v>
      </c>
      <c r="E248" s="2">
        <f t="shared" si="10"/>
        <v>-42</v>
      </c>
      <c r="F248" s="3">
        <f t="shared" si="11"/>
        <v>-0.3</v>
      </c>
      <c r="G248" s="2">
        <v>140</v>
      </c>
    </row>
    <row r="249" spans="1:7" x14ac:dyDescent="0.2">
      <c r="A249" s="1" t="s">
        <v>254</v>
      </c>
      <c r="B249" s="1" t="s">
        <v>253</v>
      </c>
      <c r="C249" s="2">
        <v>150</v>
      </c>
      <c r="D249" s="2">
        <f t="shared" si="9"/>
        <v>105</v>
      </c>
      <c r="E249" s="2">
        <f t="shared" si="10"/>
        <v>-45</v>
      </c>
      <c r="F249" s="3">
        <f t="shared" si="11"/>
        <v>-0.3</v>
      </c>
      <c r="G249" s="2">
        <v>150</v>
      </c>
    </row>
    <row r="250" spans="1:7" x14ac:dyDescent="0.2">
      <c r="A250" s="1" t="s">
        <v>255</v>
      </c>
      <c r="B250" s="1" t="s">
        <v>253</v>
      </c>
      <c r="C250" s="2">
        <v>500</v>
      </c>
      <c r="D250" s="2">
        <f t="shared" si="9"/>
        <v>350</v>
      </c>
      <c r="E250" s="2">
        <f t="shared" si="10"/>
        <v>-150</v>
      </c>
      <c r="F250" s="3">
        <f t="shared" si="11"/>
        <v>-0.3</v>
      </c>
      <c r="G250" s="2">
        <v>500</v>
      </c>
    </row>
    <row r="251" spans="1:7" x14ac:dyDescent="0.2">
      <c r="A251" s="1" t="s">
        <v>256</v>
      </c>
      <c r="B251" s="1" t="s">
        <v>253</v>
      </c>
      <c r="C251" s="2">
        <v>500</v>
      </c>
      <c r="D251" s="2">
        <f t="shared" si="9"/>
        <v>350</v>
      </c>
      <c r="E251" s="2">
        <f t="shared" si="10"/>
        <v>-150</v>
      </c>
      <c r="F251" s="3">
        <f t="shared" si="11"/>
        <v>-0.3</v>
      </c>
      <c r="G251" s="2">
        <v>500</v>
      </c>
    </row>
    <row r="252" spans="1:7" x14ac:dyDescent="0.2">
      <c r="A252" s="1" t="s">
        <v>257</v>
      </c>
      <c r="B252" s="1" t="s">
        <v>253</v>
      </c>
      <c r="C252" s="2">
        <v>500</v>
      </c>
      <c r="D252" s="2">
        <f t="shared" si="9"/>
        <v>350</v>
      </c>
      <c r="E252" s="2">
        <f t="shared" si="10"/>
        <v>-150</v>
      </c>
      <c r="F252" s="3">
        <f t="shared" si="11"/>
        <v>-0.3</v>
      </c>
      <c r="G252" s="2">
        <v>500</v>
      </c>
    </row>
    <row r="253" spans="1:7" x14ac:dyDescent="0.2">
      <c r="A253" s="1" t="s">
        <v>258</v>
      </c>
      <c r="B253" s="1" t="s">
        <v>253</v>
      </c>
      <c r="C253" s="2">
        <v>500</v>
      </c>
      <c r="D253" s="2">
        <f t="shared" si="9"/>
        <v>350</v>
      </c>
      <c r="E253" s="2">
        <f t="shared" si="10"/>
        <v>-150</v>
      </c>
      <c r="F253" s="3">
        <f t="shared" si="11"/>
        <v>-0.3</v>
      </c>
      <c r="G253" s="2">
        <v>500</v>
      </c>
    </row>
    <row r="254" spans="1:7" x14ac:dyDescent="0.2">
      <c r="A254" s="1" t="s">
        <v>259</v>
      </c>
      <c r="B254" s="1" t="s">
        <v>253</v>
      </c>
      <c r="C254" s="2">
        <v>500</v>
      </c>
      <c r="D254" s="2">
        <f t="shared" si="9"/>
        <v>350</v>
      </c>
      <c r="E254" s="2">
        <f t="shared" si="10"/>
        <v>-150</v>
      </c>
      <c r="F254" s="3">
        <f t="shared" si="11"/>
        <v>-0.3</v>
      </c>
      <c r="G254" s="2">
        <v>500</v>
      </c>
    </row>
    <row r="255" spans="1:7" x14ac:dyDescent="0.2">
      <c r="A255" s="1" t="s">
        <v>260</v>
      </c>
      <c r="B255" s="1" t="s">
        <v>253</v>
      </c>
      <c r="C255" s="2">
        <v>500</v>
      </c>
      <c r="D255" s="2">
        <f t="shared" si="9"/>
        <v>350</v>
      </c>
      <c r="E255" s="2">
        <f t="shared" si="10"/>
        <v>-150</v>
      </c>
      <c r="F255" s="3">
        <f t="shared" si="11"/>
        <v>-0.3</v>
      </c>
      <c r="G255" s="2">
        <v>500</v>
      </c>
    </row>
    <row r="256" spans="1:7" x14ac:dyDescent="0.2">
      <c r="A256" s="1" t="s">
        <v>261</v>
      </c>
      <c r="B256" s="1" t="s">
        <v>253</v>
      </c>
      <c r="C256" s="2">
        <v>250</v>
      </c>
      <c r="D256" s="2">
        <f t="shared" si="9"/>
        <v>175</v>
      </c>
      <c r="E256" s="2">
        <f t="shared" si="10"/>
        <v>-75</v>
      </c>
      <c r="F256" s="3">
        <f t="shared" si="11"/>
        <v>-0.3</v>
      </c>
      <c r="G256" s="2">
        <v>250</v>
      </c>
    </row>
    <row r="257" spans="1:7" x14ac:dyDescent="0.2">
      <c r="A257" s="1" t="s">
        <v>262</v>
      </c>
      <c r="B257" s="1" t="s">
        <v>253</v>
      </c>
      <c r="C257" s="2">
        <v>700</v>
      </c>
      <c r="D257" s="2">
        <f t="shared" si="9"/>
        <v>489.99999999999994</v>
      </c>
      <c r="E257" s="2">
        <f t="shared" si="10"/>
        <v>-210.00000000000006</v>
      </c>
      <c r="F257" s="3">
        <f t="shared" si="11"/>
        <v>-0.3000000000000001</v>
      </c>
      <c r="G257" s="2">
        <v>700</v>
      </c>
    </row>
    <row r="258" spans="1:7" x14ac:dyDescent="0.2">
      <c r="A258" s="1" t="s">
        <v>263</v>
      </c>
      <c r="B258" s="1" t="s">
        <v>253</v>
      </c>
      <c r="C258" s="2">
        <v>2300</v>
      </c>
      <c r="D258" s="2">
        <f t="shared" si="9"/>
        <v>1610</v>
      </c>
      <c r="E258" s="2">
        <f t="shared" si="10"/>
        <v>-690</v>
      </c>
      <c r="F258" s="3">
        <f t="shared" si="11"/>
        <v>-0.3</v>
      </c>
      <c r="G258" s="2">
        <v>2300</v>
      </c>
    </row>
    <row r="259" spans="1:7" x14ac:dyDescent="0.2">
      <c r="A259" s="1" t="s">
        <v>264</v>
      </c>
      <c r="B259" s="1" t="s">
        <v>253</v>
      </c>
      <c r="C259" s="2">
        <v>500</v>
      </c>
      <c r="D259" s="2">
        <f t="shared" ref="D259:D322" si="12">C259*0.7</f>
        <v>350</v>
      </c>
      <c r="E259" s="2">
        <f t="shared" ref="E259:E322" si="13">IF(AND(C259&lt;&gt;"",D259&lt;&gt;""),D259-C259,"")</f>
        <v>-150</v>
      </c>
      <c r="F259" s="3">
        <f t="shared" ref="F259:F322" si="14">IF(AND(C259&lt;&gt;"",D259&lt;&gt;"",C259&gt;0),(D259-C259)/C259,"")</f>
        <v>-0.3</v>
      </c>
      <c r="G259" s="2">
        <v>500</v>
      </c>
    </row>
    <row r="260" spans="1:7" x14ac:dyDescent="0.2">
      <c r="A260" s="1" t="s">
        <v>265</v>
      </c>
      <c r="B260" s="1" t="s">
        <v>253</v>
      </c>
      <c r="C260" s="2">
        <v>350</v>
      </c>
      <c r="D260" s="2">
        <f t="shared" si="12"/>
        <v>244.99999999999997</v>
      </c>
      <c r="E260" s="2">
        <f t="shared" si="13"/>
        <v>-105.00000000000003</v>
      </c>
      <c r="F260" s="3">
        <f t="shared" si="14"/>
        <v>-0.3000000000000001</v>
      </c>
      <c r="G260" s="2">
        <v>350</v>
      </c>
    </row>
    <row r="261" spans="1:7" x14ac:dyDescent="0.2">
      <c r="A261" s="1" t="s">
        <v>266</v>
      </c>
      <c r="B261" s="1" t="s">
        <v>253</v>
      </c>
      <c r="C261" s="2">
        <v>500</v>
      </c>
      <c r="D261" s="2">
        <f t="shared" si="12"/>
        <v>350</v>
      </c>
      <c r="E261" s="2">
        <f t="shared" si="13"/>
        <v>-150</v>
      </c>
      <c r="F261" s="3">
        <f t="shared" si="14"/>
        <v>-0.3</v>
      </c>
      <c r="G261" s="2">
        <v>500</v>
      </c>
    </row>
    <row r="262" spans="1:7" x14ac:dyDescent="0.2">
      <c r="A262" s="1" t="s">
        <v>267</v>
      </c>
      <c r="B262" s="1" t="s">
        <v>253</v>
      </c>
      <c r="C262" s="2">
        <v>500</v>
      </c>
      <c r="D262" s="2">
        <f t="shared" si="12"/>
        <v>350</v>
      </c>
      <c r="E262" s="2">
        <f t="shared" si="13"/>
        <v>-150</v>
      </c>
      <c r="F262" s="3">
        <f t="shared" si="14"/>
        <v>-0.3</v>
      </c>
      <c r="G262" s="2">
        <v>500</v>
      </c>
    </row>
    <row r="263" spans="1:7" x14ac:dyDescent="0.2">
      <c r="A263" s="1" t="s">
        <v>268</v>
      </c>
      <c r="B263" s="1" t="s">
        <v>269</v>
      </c>
      <c r="C263" s="2">
        <v>550</v>
      </c>
      <c r="D263" s="2">
        <f t="shared" si="12"/>
        <v>385</v>
      </c>
      <c r="E263" s="2">
        <f t="shared" si="13"/>
        <v>-165</v>
      </c>
      <c r="F263" s="3">
        <f t="shared" si="14"/>
        <v>-0.3</v>
      </c>
      <c r="G263" s="2">
        <v>550</v>
      </c>
    </row>
    <row r="264" spans="1:7" x14ac:dyDescent="0.2">
      <c r="A264" s="1" t="s">
        <v>270</v>
      </c>
      <c r="B264" s="1" t="s">
        <v>269</v>
      </c>
      <c r="C264" s="2">
        <v>550</v>
      </c>
      <c r="D264" s="2">
        <f t="shared" si="12"/>
        <v>385</v>
      </c>
      <c r="E264" s="2">
        <f t="shared" si="13"/>
        <v>-165</v>
      </c>
      <c r="F264" s="3">
        <f t="shared" si="14"/>
        <v>-0.3</v>
      </c>
      <c r="G264" s="2">
        <v>550</v>
      </c>
    </row>
    <row r="265" spans="1:7" x14ac:dyDescent="0.2">
      <c r="A265" s="1" t="s">
        <v>271</v>
      </c>
      <c r="B265" s="1" t="s">
        <v>269</v>
      </c>
      <c r="C265" s="2">
        <v>550</v>
      </c>
      <c r="D265" s="2">
        <f t="shared" si="12"/>
        <v>385</v>
      </c>
      <c r="E265" s="2">
        <f t="shared" si="13"/>
        <v>-165</v>
      </c>
      <c r="F265" s="3">
        <f t="shared" si="14"/>
        <v>-0.3</v>
      </c>
      <c r="G265" s="2">
        <v>550</v>
      </c>
    </row>
    <row r="266" spans="1:7" x14ac:dyDescent="0.2">
      <c r="A266" s="1" t="s">
        <v>272</v>
      </c>
      <c r="B266" s="1" t="s">
        <v>269</v>
      </c>
      <c r="C266" s="2">
        <v>550</v>
      </c>
      <c r="D266" s="2">
        <f t="shared" si="12"/>
        <v>385</v>
      </c>
      <c r="E266" s="2">
        <f t="shared" si="13"/>
        <v>-165</v>
      </c>
      <c r="F266" s="3">
        <f t="shared" si="14"/>
        <v>-0.3</v>
      </c>
      <c r="G266" s="2">
        <v>550</v>
      </c>
    </row>
    <row r="267" spans="1:7" x14ac:dyDescent="0.2">
      <c r="A267" s="1" t="s">
        <v>273</v>
      </c>
      <c r="B267" s="1" t="s">
        <v>269</v>
      </c>
      <c r="C267" s="2">
        <v>550</v>
      </c>
      <c r="D267" s="2">
        <f t="shared" si="12"/>
        <v>385</v>
      </c>
      <c r="E267" s="2">
        <f t="shared" si="13"/>
        <v>-165</v>
      </c>
      <c r="F267" s="3">
        <f t="shared" si="14"/>
        <v>-0.3</v>
      </c>
      <c r="G267" s="2">
        <v>550</v>
      </c>
    </row>
    <row r="268" spans="1:7" x14ac:dyDescent="0.2">
      <c r="A268" s="1" t="s">
        <v>274</v>
      </c>
      <c r="B268" s="1" t="s">
        <v>269</v>
      </c>
      <c r="C268" s="2">
        <v>550</v>
      </c>
      <c r="D268" s="2">
        <f t="shared" si="12"/>
        <v>385</v>
      </c>
      <c r="E268" s="2">
        <f t="shared" si="13"/>
        <v>-165</v>
      </c>
      <c r="F268" s="3">
        <f t="shared" si="14"/>
        <v>-0.3</v>
      </c>
      <c r="G268" s="2">
        <v>550</v>
      </c>
    </row>
    <row r="269" spans="1:7" x14ac:dyDescent="0.2">
      <c r="A269" s="1" t="s">
        <v>275</v>
      </c>
      <c r="B269" s="1" t="s">
        <v>269</v>
      </c>
      <c r="C269" s="2">
        <v>550</v>
      </c>
      <c r="D269" s="2">
        <f t="shared" si="12"/>
        <v>385</v>
      </c>
      <c r="E269" s="2">
        <f t="shared" si="13"/>
        <v>-165</v>
      </c>
      <c r="F269" s="3">
        <f t="shared" si="14"/>
        <v>-0.3</v>
      </c>
      <c r="G269" s="2">
        <v>550</v>
      </c>
    </row>
    <row r="270" spans="1:7" x14ac:dyDescent="0.2">
      <c r="A270" s="1" t="s">
        <v>276</v>
      </c>
      <c r="B270" s="1" t="s">
        <v>269</v>
      </c>
      <c r="C270" s="2">
        <v>550</v>
      </c>
      <c r="D270" s="2">
        <f t="shared" si="12"/>
        <v>385</v>
      </c>
      <c r="E270" s="2">
        <f t="shared" si="13"/>
        <v>-165</v>
      </c>
      <c r="F270" s="3">
        <f t="shared" si="14"/>
        <v>-0.3</v>
      </c>
      <c r="G270" s="2">
        <v>550</v>
      </c>
    </row>
    <row r="271" spans="1:7" x14ac:dyDescent="0.2">
      <c r="A271" s="1" t="s">
        <v>277</v>
      </c>
      <c r="B271" s="1" t="s">
        <v>269</v>
      </c>
      <c r="C271" s="2">
        <v>550</v>
      </c>
      <c r="D271" s="2">
        <f t="shared" si="12"/>
        <v>385</v>
      </c>
      <c r="E271" s="2">
        <f t="shared" si="13"/>
        <v>-165</v>
      </c>
      <c r="F271" s="3">
        <f t="shared" si="14"/>
        <v>-0.3</v>
      </c>
      <c r="G271" s="2">
        <v>550</v>
      </c>
    </row>
    <row r="272" spans="1:7" x14ac:dyDescent="0.2">
      <c r="A272" s="1" t="s">
        <v>278</v>
      </c>
      <c r="B272" s="1" t="s">
        <v>269</v>
      </c>
      <c r="C272" s="2">
        <v>550</v>
      </c>
      <c r="D272" s="2">
        <f t="shared" si="12"/>
        <v>385</v>
      </c>
      <c r="E272" s="2">
        <f t="shared" si="13"/>
        <v>-165</v>
      </c>
      <c r="F272" s="3">
        <f t="shared" si="14"/>
        <v>-0.3</v>
      </c>
      <c r="G272" s="2">
        <v>550</v>
      </c>
    </row>
    <row r="273" spans="1:7" x14ac:dyDescent="0.2">
      <c r="A273" s="1" t="s">
        <v>279</v>
      </c>
      <c r="B273" s="1" t="s">
        <v>269</v>
      </c>
      <c r="C273" s="2">
        <v>550</v>
      </c>
      <c r="D273" s="2">
        <f t="shared" si="12"/>
        <v>385</v>
      </c>
      <c r="E273" s="2">
        <f t="shared" si="13"/>
        <v>-165</v>
      </c>
      <c r="F273" s="3">
        <f t="shared" si="14"/>
        <v>-0.3</v>
      </c>
      <c r="G273" s="2">
        <v>550</v>
      </c>
    </row>
    <row r="274" spans="1:7" x14ac:dyDescent="0.2">
      <c r="A274" s="1" t="s">
        <v>280</v>
      </c>
      <c r="B274" s="1" t="s">
        <v>269</v>
      </c>
      <c r="C274" s="2">
        <v>550</v>
      </c>
      <c r="D274" s="2">
        <f t="shared" si="12"/>
        <v>385</v>
      </c>
      <c r="E274" s="2">
        <f t="shared" si="13"/>
        <v>-165</v>
      </c>
      <c r="F274" s="3">
        <f t="shared" si="14"/>
        <v>-0.3</v>
      </c>
      <c r="G274" s="2">
        <v>550</v>
      </c>
    </row>
    <row r="275" spans="1:7" x14ac:dyDescent="0.2">
      <c r="A275" s="1" t="s">
        <v>281</v>
      </c>
      <c r="B275" s="1" t="s">
        <v>282</v>
      </c>
      <c r="C275" s="2">
        <v>2500</v>
      </c>
      <c r="D275" s="2">
        <f t="shared" si="12"/>
        <v>1750</v>
      </c>
      <c r="E275" s="2">
        <f t="shared" si="13"/>
        <v>-750</v>
      </c>
      <c r="F275" s="3">
        <f t="shared" si="14"/>
        <v>-0.3</v>
      </c>
      <c r="G275" s="2">
        <v>2500</v>
      </c>
    </row>
    <row r="276" spans="1:7" x14ac:dyDescent="0.2">
      <c r="A276" s="1" t="s">
        <v>283</v>
      </c>
      <c r="B276" s="1" t="s">
        <v>282</v>
      </c>
      <c r="C276" s="2">
        <v>1275</v>
      </c>
      <c r="D276" s="2">
        <f t="shared" si="12"/>
        <v>892.5</v>
      </c>
      <c r="E276" s="2">
        <f t="shared" si="13"/>
        <v>-382.5</v>
      </c>
      <c r="F276" s="3">
        <f t="shared" si="14"/>
        <v>-0.3</v>
      </c>
      <c r="G276" s="2">
        <v>1275</v>
      </c>
    </row>
    <row r="277" spans="1:7" x14ac:dyDescent="0.2">
      <c r="A277" s="1" t="s">
        <v>284</v>
      </c>
      <c r="B277" s="1" t="s">
        <v>282</v>
      </c>
      <c r="C277" s="2">
        <v>1250</v>
      </c>
      <c r="D277" s="2">
        <f t="shared" si="12"/>
        <v>875</v>
      </c>
      <c r="E277" s="2">
        <f t="shared" si="13"/>
        <v>-375</v>
      </c>
      <c r="F277" s="3">
        <f t="shared" si="14"/>
        <v>-0.3</v>
      </c>
      <c r="G277" s="2">
        <v>1250</v>
      </c>
    </row>
    <row r="278" spans="1:7" x14ac:dyDescent="0.2">
      <c r="A278" s="1" t="s">
        <v>285</v>
      </c>
      <c r="B278" s="1" t="s">
        <v>282</v>
      </c>
      <c r="C278" s="2">
        <v>500</v>
      </c>
      <c r="D278" s="2">
        <f t="shared" si="12"/>
        <v>350</v>
      </c>
      <c r="E278" s="2">
        <f t="shared" si="13"/>
        <v>-150</v>
      </c>
      <c r="F278" s="3">
        <f t="shared" si="14"/>
        <v>-0.3</v>
      </c>
      <c r="G278" s="2">
        <v>500</v>
      </c>
    </row>
    <row r="279" spans="1:7" x14ac:dyDescent="0.2">
      <c r="A279" s="1" t="s">
        <v>286</v>
      </c>
      <c r="B279" s="1" t="s">
        <v>282</v>
      </c>
      <c r="C279" s="2">
        <v>1020</v>
      </c>
      <c r="D279" s="2">
        <f t="shared" si="12"/>
        <v>714</v>
      </c>
      <c r="E279" s="2">
        <f t="shared" si="13"/>
        <v>-306</v>
      </c>
      <c r="F279" s="3">
        <f t="shared" si="14"/>
        <v>-0.3</v>
      </c>
      <c r="G279" s="2">
        <v>1020</v>
      </c>
    </row>
    <row r="280" spans="1:7" x14ac:dyDescent="0.2">
      <c r="A280" s="1" t="s">
        <v>287</v>
      </c>
      <c r="B280" s="1" t="s">
        <v>282</v>
      </c>
      <c r="C280" s="2">
        <v>1750</v>
      </c>
      <c r="D280" s="2">
        <f t="shared" si="12"/>
        <v>1225</v>
      </c>
      <c r="E280" s="2">
        <f t="shared" si="13"/>
        <v>-525</v>
      </c>
      <c r="F280" s="3">
        <f t="shared" si="14"/>
        <v>-0.3</v>
      </c>
      <c r="G280" s="2">
        <v>1750</v>
      </c>
    </row>
    <row r="281" spans="1:7" x14ac:dyDescent="0.2">
      <c r="A281" s="1" t="s">
        <v>288</v>
      </c>
      <c r="B281" s="1" t="s">
        <v>289</v>
      </c>
      <c r="C281" s="2">
        <v>700</v>
      </c>
      <c r="D281" s="2">
        <f t="shared" si="12"/>
        <v>489.99999999999994</v>
      </c>
      <c r="E281" s="2">
        <f t="shared" si="13"/>
        <v>-210.00000000000006</v>
      </c>
      <c r="F281" s="3">
        <f t="shared" si="14"/>
        <v>-0.3000000000000001</v>
      </c>
      <c r="G281" s="2">
        <v>700</v>
      </c>
    </row>
    <row r="282" spans="1:7" x14ac:dyDescent="0.2">
      <c r="A282" s="1" t="s">
        <v>290</v>
      </c>
      <c r="B282" s="1" t="s">
        <v>289</v>
      </c>
      <c r="C282" s="2">
        <v>1050</v>
      </c>
      <c r="D282" s="2">
        <f t="shared" si="12"/>
        <v>735</v>
      </c>
      <c r="E282" s="2">
        <f t="shared" si="13"/>
        <v>-315</v>
      </c>
      <c r="F282" s="3">
        <f t="shared" si="14"/>
        <v>-0.3</v>
      </c>
      <c r="G282" s="2">
        <v>1050</v>
      </c>
    </row>
    <row r="283" spans="1:7" x14ac:dyDescent="0.2">
      <c r="A283" s="1" t="s">
        <v>291</v>
      </c>
      <c r="B283" s="1" t="s">
        <v>289</v>
      </c>
      <c r="C283" s="2">
        <v>350</v>
      </c>
      <c r="D283" s="2">
        <f t="shared" si="12"/>
        <v>244.99999999999997</v>
      </c>
      <c r="E283" s="2">
        <f t="shared" si="13"/>
        <v>-105.00000000000003</v>
      </c>
      <c r="F283" s="3">
        <f t="shared" si="14"/>
        <v>-0.3000000000000001</v>
      </c>
      <c r="G283" s="2">
        <v>350</v>
      </c>
    </row>
    <row r="284" spans="1:7" x14ac:dyDescent="0.2">
      <c r="A284" s="1" t="s">
        <v>292</v>
      </c>
      <c r="B284" s="1" t="s">
        <v>289</v>
      </c>
      <c r="C284" s="2">
        <v>140</v>
      </c>
      <c r="D284" s="2">
        <f t="shared" si="12"/>
        <v>98</v>
      </c>
      <c r="E284" s="2">
        <f t="shared" si="13"/>
        <v>-42</v>
      </c>
      <c r="F284" s="3">
        <f t="shared" si="14"/>
        <v>-0.3</v>
      </c>
      <c r="G284" s="2">
        <v>140</v>
      </c>
    </row>
    <row r="285" spans="1:7" x14ac:dyDescent="0.2">
      <c r="A285" s="1" t="s">
        <v>293</v>
      </c>
      <c r="B285" s="1" t="s">
        <v>289</v>
      </c>
      <c r="C285" s="2">
        <v>840</v>
      </c>
      <c r="D285" s="2">
        <f t="shared" si="12"/>
        <v>588</v>
      </c>
      <c r="E285" s="2">
        <f t="shared" si="13"/>
        <v>-252</v>
      </c>
      <c r="F285" s="3">
        <f t="shared" si="14"/>
        <v>-0.3</v>
      </c>
      <c r="G285" s="2">
        <v>840</v>
      </c>
    </row>
    <row r="286" spans="1:7" x14ac:dyDescent="0.2">
      <c r="A286" s="1" t="s">
        <v>294</v>
      </c>
      <c r="B286" s="1" t="s">
        <v>289</v>
      </c>
      <c r="C286" s="2">
        <v>490</v>
      </c>
      <c r="D286" s="2">
        <f t="shared" si="12"/>
        <v>343</v>
      </c>
      <c r="E286" s="2">
        <f t="shared" si="13"/>
        <v>-147</v>
      </c>
      <c r="F286" s="3">
        <f t="shared" si="14"/>
        <v>-0.3</v>
      </c>
      <c r="G286" s="2">
        <v>490</v>
      </c>
    </row>
    <row r="287" spans="1:7" x14ac:dyDescent="0.2">
      <c r="A287" s="1" t="s">
        <v>295</v>
      </c>
      <c r="B287" s="1" t="s">
        <v>296</v>
      </c>
      <c r="C287" s="2">
        <v>550</v>
      </c>
      <c r="D287" s="2">
        <f t="shared" si="12"/>
        <v>385</v>
      </c>
      <c r="E287" s="2">
        <f t="shared" si="13"/>
        <v>-165</v>
      </c>
      <c r="F287" s="3">
        <f t="shared" si="14"/>
        <v>-0.3</v>
      </c>
      <c r="G287" s="2">
        <v>550</v>
      </c>
    </row>
    <row r="288" spans="1:7" x14ac:dyDescent="0.2">
      <c r="A288" s="1" t="s">
        <v>297</v>
      </c>
      <c r="B288" s="1" t="s">
        <v>296</v>
      </c>
      <c r="C288" s="2">
        <v>550</v>
      </c>
      <c r="D288" s="2">
        <f t="shared" si="12"/>
        <v>385</v>
      </c>
      <c r="E288" s="2">
        <f t="shared" si="13"/>
        <v>-165</v>
      </c>
      <c r="F288" s="3">
        <f t="shared" si="14"/>
        <v>-0.3</v>
      </c>
      <c r="G288" s="2">
        <v>550</v>
      </c>
    </row>
    <row r="289" spans="1:7" x14ac:dyDescent="0.2">
      <c r="A289" s="1" t="s">
        <v>298</v>
      </c>
      <c r="B289" s="1" t="s">
        <v>296</v>
      </c>
      <c r="C289" s="2">
        <v>550</v>
      </c>
      <c r="D289" s="2">
        <f t="shared" si="12"/>
        <v>385</v>
      </c>
      <c r="E289" s="2">
        <f t="shared" si="13"/>
        <v>-165</v>
      </c>
      <c r="F289" s="3">
        <f t="shared" si="14"/>
        <v>-0.3</v>
      </c>
      <c r="G289" s="2">
        <v>550</v>
      </c>
    </row>
    <row r="290" spans="1:7" x14ac:dyDescent="0.2">
      <c r="A290" s="1" t="s">
        <v>299</v>
      </c>
      <c r="B290" s="1" t="s">
        <v>296</v>
      </c>
      <c r="C290" s="2">
        <v>550</v>
      </c>
      <c r="D290" s="2">
        <f t="shared" si="12"/>
        <v>385</v>
      </c>
      <c r="E290" s="2">
        <f t="shared" si="13"/>
        <v>-165</v>
      </c>
      <c r="F290" s="3">
        <f t="shared" si="14"/>
        <v>-0.3</v>
      </c>
      <c r="G290" s="2">
        <v>550</v>
      </c>
    </row>
    <row r="291" spans="1:7" x14ac:dyDescent="0.2">
      <c r="A291" s="1" t="s">
        <v>300</v>
      </c>
      <c r="B291" s="1" t="s">
        <v>296</v>
      </c>
      <c r="C291" s="2">
        <v>550</v>
      </c>
      <c r="D291" s="2">
        <f t="shared" si="12"/>
        <v>385</v>
      </c>
      <c r="E291" s="2">
        <f t="shared" si="13"/>
        <v>-165</v>
      </c>
      <c r="F291" s="3">
        <f t="shared" si="14"/>
        <v>-0.3</v>
      </c>
      <c r="G291" s="2">
        <v>550</v>
      </c>
    </row>
    <row r="292" spans="1:7" x14ac:dyDescent="0.2">
      <c r="A292" s="1" t="s">
        <v>301</v>
      </c>
      <c r="B292" s="1" t="s">
        <v>296</v>
      </c>
      <c r="C292" s="2">
        <v>550</v>
      </c>
      <c r="D292" s="2">
        <f t="shared" si="12"/>
        <v>385</v>
      </c>
      <c r="E292" s="2">
        <f t="shared" si="13"/>
        <v>-165</v>
      </c>
      <c r="F292" s="3">
        <f t="shared" si="14"/>
        <v>-0.3</v>
      </c>
      <c r="G292" s="2">
        <v>550</v>
      </c>
    </row>
    <row r="293" spans="1:7" x14ac:dyDescent="0.2">
      <c r="A293" s="1" t="s">
        <v>302</v>
      </c>
      <c r="B293" s="1" t="s">
        <v>296</v>
      </c>
      <c r="C293" s="2">
        <v>550</v>
      </c>
      <c r="D293" s="2">
        <f t="shared" si="12"/>
        <v>385</v>
      </c>
      <c r="E293" s="2">
        <f t="shared" si="13"/>
        <v>-165</v>
      </c>
      <c r="F293" s="3">
        <f t="shared" si="14"/>
        <v>-0.3</v>
      </c>
      <c r="G293" s="2">
        <v>550</v>
      </c>
    </row>
    <row r="294" spans="1:7" x14ac:dyDescent="0.2">
      <c r="A294" s="1" t="s">
        <v>303</v>
      </c>
      <c r="B294" s="1" t="s">
        <v>296</v>
      </c>
      <c r="C294" s="2">
        <v>550</v>
      </c>
      <c r="D294" s="2">
        <f t="shared" si="12"/>
        <v>385</v>
      </c>
      <c r="E294" s="2">
        <f t="shared" si="13"/>
        <v>-165</v>
      </c>
      <c r="F294" s="3">
        <f t="shared" si="14"/>
        <v>-0.3</v>
      </c>
      <c r="G294" s="2">
        <v>550</v>
      </c>
    </row>
    <row r="295" spans="1:7" x14ac:dyDescent="0.2">
      <c r="A295" s="1" t="s">
        <v>304</v>
      </c>
      <c r="B295" s="1" t="s">
        <v>296</v>
      </c>
      <c r="C295" s="2">
        <v>550</v>
      </c>
      <c r="D295" s="2">
        <f t="shared" si="12"/>
        <v>385</v>
      </c>
      <c r="E295" s="2">
        <f t="shared" si="13"/>
        <v>-165</v>
      </c>
      <c r="F295" s="3">
        <f t="shared" si="14"/>
        <v>-0.3</v>
      </c>
      <c r="G295" s="2">
        <v>550</v>
      </c>
    </row>
    <row r="296" spans="1:7" x14ac:dyDescent="0.2">
      <c r="A296" s="1" t="s">
        <v>305</v>
      </c>
      <c r="B296" s="1" t="s">
        <v>296</v>
      </c>
      <c r="C296" s="2">
        <v>550</v>
      </c>
      <c r="D296" s="2">
        <f t="shared" si="12"/>
        <v>385</v>
      </c>
      <c r="E296" s="2">
        <f t="shared" si="13"/>
        <v>-165</v>
      </c>
      <c r="F296" s="3">
        <f t="shared" si="14"/>
        <v>-0.3</v>
      </c>
      <c r="G296" s="2">
        <v>550</v>
      </c>
    </row>
    <row r="297" spans="1:7" x14ac:dyDescent="0.2">
      <c r="A297" s="1" t="s">
        <v>306</v>
      </c>
      <c r="B297" s="1" t="s">
        <v>307</v>
      </c>
      <c r="C297" s="2">
        <v>4500</v>
      </c>
      <c r="D297" s="2">
        <f t="shared" si="12"/>
        <v>3150</v>
      </c>
      <c r="E297" s="2">
        <f t="shared" si="13"/>
        <v>-1350</v>
      </c>
      <c r="F297" s="3">
        <f t="shared" si="14"/>
        <v>-0.3</v>
      </c>
      <c r="G297" s="2">
        <v>4500</v>
      </c>
    </row>
    <row r="298" spans="1:7" x14ac:dyDescent="0.2">
      <c r="A298" s="1" t="s">
        <v>308</v>
      </c>
      <c r="B298" s="1" t="s">
        <v>307</v>
      </c>
      <c r="C298" s="2">
        <v>9800</v>
      </c>
      <c r="D298" s="2">
        <f t="shared" si="12"/>
        <v>6860</v>
      </c>
      <c r="E298" s="2">
        <f t="shared" si="13"/>
        <v>-2940</v>
      </c>
      <c r="F298" s="3">
        <f t="shared" si="14"/>
        <v>-0.3</v>
      </c>
      <c r="G298" s="2">
        <v>9800</v>
      </c>
    </row>
    <row r="299" spans="1:7" x14ac:dyDescent="0.2">
      <c r="A299" s="1" t="s">
        <v>309</v>
      </c>
      <c r="B299" s="1" t="s">
        <v>307</v>
      </c>
      <c r="C299" s="2">
        <v>1500</v>
      </c>
      <c r="D299" s="2">
        <f t="shared" si="12"/>
        <v>1050</v>
      </c>
      <c r="E299" s="2">
        <f t="shared" si="13"/>
        <v>-450</v>
      </c>
      <c r="F299" s="3">
        <f t="shared" si="14"/>
        <v>-0.3</v>
      </c>
      <c r="G299" s="2">
        <v>1500</v>
      </c>
    </row>
    <row r="300" spans="1:7" x14ac:dyDescent="0.2">
      <c r="A300" s="1" t="s">
        <v>310</v>
      </c>
      <c r="B300" s="1" t="s">
        <v>307</v>
      </c>
      <c r="C300" s="2">
        <v>4500</v>
      </c>
      <c r="D300" s="2">
        <f t="shared" si="12"/>
        <v>3150</v>
      </c>
      <c r="E300" s="2">
        <f t="shared" si="13"/>
        <v>-1350</v>
      </c>
      <c r="F300" s="3">
        <f t="shared" si="14"/>
        <v>-0.3</v>
      </c>
      <c r="G300" s="2">
        <v>4500</v>
      </c>
    </row>
    <row r="301" spans="1:7" x14ac:dyDescent="0.2">
      <c r="A301" s="1" t="s">
        <v>311</v>
      </c>
      <c r="B301" s="1" t="s">
        <v>307</v>
      </c>
      <c r="C301" s="2">
        <v>4500</v>
      </c>
      <c r="D301" s="2">
        <f t="shared" si="12"/>
        <v>3150</v>
      </c>
      <c r="E301" s="2">
        <f t="shared" si="13"/>
        <v>-1350</v>
      </c>
      <c r="F301" s="3">
        <f t="shared" si="14"/>
        <v>-0.3</v>
      </c>
      <c r="G301" s="2">
        <v>4500</v>
      </c>
    </row>
    <row r="302" spans="1:7" x14ac:dyDescent="0.2">
      <c r="A302" s="1" t="s">
        <v>312</v>
      </c>
      <c r="B302" s="1" t="s">
        <v>307</v>
      </c>
      <c r="C302" s="2">
        <v>4500</v>
      </c>
      <c r="D302" s="2">
        <f t="shared" si="12"/>
        <v>3150</v>
      </c>
      <c r="E302" s="2">
        <f t="shared" si="13"/>
        <v>-1350</v>
      </c>
      <c r="F302" s="3">
        <f t="shared" si="14"/>
        <v>-0.3</v>
      </c>
      <c r="G302" s="2">
        <v>4500</v>
      </c>
    </row>
    <row r="303" spans="1:7" x14ac:dyDescent="0.2">
      <c r="A303" s="1" t="s">
        <v>313</v>
      </c>
      <c r="B303" s="1" t="s">
        <v>307</v>
      </c>
      <c r="C303" s="2">
        <v>2500</v>
      </c>
      <c r="D303" s="2">
        <f t="shared" si="12"/>
        <v>1750</v>
      </c>
      <c r="E303" s="2">
        <f t="shared" si="13"/>
        <v>-750</v>
      </c>
      <c r="F303" s="3">
        <f t="shared" si="14"/>
        <v>-0.3</v>
      </c>
      <c r="G303" s="2">
        <v>2500</v>
      </c>
    </row>
    <row r="304" spans="1:7" x14ac:dyDescent="0.2">
      <c r="A304" s="1" t="s">
        <v>314</v>
      </c>
      <c r="B304" s="1" t="s">
        <v>307</v>
      </c>
      <c r="C304" s="2">
        <v>4500</v>
      </c>
      <c r="D304" s="2">
        <f t="shared" si="12"/>
        <v>3150</v>
      </c>
      <c r="E304" s="2">
        <f t="shared" si="13"/>
        <v>-1350</v>
      </c>
      <c r="F304" s="3">
        <f t="shared" si="14"/>
        <v>-0.3</v>
      </c>
      <c r="G304" s="2">
        <v>4500</v>
      </c>
    </row>
    <row r="305" spans="1:7" x14ac:dyDescent="0.2">
      <c r="A305" s="1" t="s">
        <v>315</v>
      </c>
      <c r="B305" s="1" t="s">
        <v>307</v>
      </c>
      <c r="C305" s="2">
        <v>4500</v>
      </c>
      <c r="D305" s="2">
        <f t="shared" si="12"/>
        <v>3150</v>
      </c>
      <c r="E305" s="2">
        <f t="shared" si="13"/>
        <v>-1350</v>
      </c>
      <c r="F305" s="3">
        <f t="shared" si="14"/>
        <v>-0.3</v>
      </c>
      <c r="G305" s="2">
        <v>4500</v>
      </c>
    </row>
    <row r="306" spans="1:7" x14ac:dyDescent="0.2">
      <c r="A306" s="1" t="s">
        <v>316</v>
      </c>
      <c r="B306" s="1" t="s">
        <v>307</v>
      </c>
      <c r="C306" s="2">
        <v>4500</v>
      </c>
      <c r="D306" s="2">
        <f t="shared" si="12"/>
        <v>3150</v>
      </c>
      <c r="E306" s="2">
        <f t="shared" si="13"/>
        <v>-1350</v>
      </c>
      <c r="F306" s="3">
        <f t="shared" si="14"/>
        <v>-0.3</v>
      </c>
      <c r="G306" s="2">
        <v>4500</v>
      </c>
    </row>
    <row r="307" spans="1:7" x14ac:dyDescent="0.2">
      <c r="A307" s="1" t="s">
        <v>317</v>
      </c>
      <c r="B307" s="1" t="s">
        <v>307</v>
      </c>
      <c r="C307" s="2">
        <v>5500</v>
      </c>
      <c r="D307" s="2">
        <f t="shared" si="12"/>
        <v>3849.9999999999995</v>
      </c>
      <c r="E307" s="2">
        <f t="shared" si="13"/>
        <v>-1650.0000000000005</v>
      </c>
      <c r="F307" s="3">
        <f t="shared" si="14"/>
        <v>-0.3000000000000001</v>
      </c>
      <c r="G307" s="2">
        <v>5500</v>
      </c>
    </row>
    <row r="308" spans="1:7" x14ac:dyDescent="0.2">
      <c r="A308" s="1" t="s">
        <v>318</v>
      </c>
      <c r="B308" s="1" t="s">
        <v>307</v>
      </c>
      <c r="C308" s="2">
        <v>4500</v>
      </c>
      <c r="D308" s="2">
        <f t="shared" si="12"/>
        <v>3150</v>
      </c>
      <c r="E308" s="2">
        <f t="shared" si="13"/>
        <v>-1350</v>
      </c>
      <c r="F308" s="3">
        <f t="shared" si="14"/>
        <v>-0.3</v>
      </c>
      <c r="G308" s="2">
        <v>4500</v>
      </c>
    </row>
    <row r="309" spans="1:7" x14ac:dyDescent="0.2">
      <c r="A309" s="1" t="s">
        <v>319</v>
      </c>
      <c r="B309" s="1" t="s">
        <v>307</v>
      </c>
      <c r="C309" s="2">
        <v>4500</v>
      </c>
      <c r="D309" s="2">
        <f t="shared" si="12"/>
        <v>3150</v>
      </c>
      <c r="E309" s="2">
        <f t="shared" si="13"/>
        <v>-1350</v>
      </c>
      <c r="F309" s="3">
        <f t="shared" si="14"/>
        <v>-0.3</v>
      </c>
      <c r="G309" s="2">
        <v>4500</v>
      </c>
    </row>
    <row r="310" spans="1:7" x14ac:dyDescent="0.2">
      <c r="A310" s="1" t="s">
        <v>320</v>
      </c>
      <c r="B310" s="1" t="s">
        <v>307</v>
      </c>
      <c r="C310" s="2">
        <v>4500</v>
      </c>
      <c r="D310" s="2">
        <f t="shared" si="12"/>
        <v>3150</v>
      </c>
      <c r="E310" s="2">
        <f t="shared" si="13"/>
        <v>-1350</v>
      </c>
      <c r="F310" s="3">
        <f t="shared" si="14"/>
        <v>-0.3</v>
      </c>
      <c r="G310" s="2">
        <v>4500</v>
      </c>
    </row>
    <row r="311" spans="1:7" x14ac:dyDescent="0.2">
      <c r="A311" s="1" t="s">
        <v>321</v>
      </c>
      <c r="B311" s="1" t="s">
        <v>307</v>
      </c>
      <c r="C311" s="2">
        <v>5500</v>
      </c>
      <c r="D311" s="2">
        <f t="shared" si="12"/>
        <v>3849.9999999999995</v>
      </c>
      <c r="E311" s="2">
        <f t="shared" si="13"/>
        <v>-1650.0000000000005</v>
      </c>
      <c r="F311" s="3">
        <f t="shared" si="14"/>
        <v>-0.3000000000000001</v>
      </c>
      <c r="G311" s="2">
        <v>5500</v>
      </c>
    </row>
    <row r="312" spans="1:7" x14ac:dyDescent="0.2">
      <c r="A312" s="1" t="s">
        <v>322</v>
      </c>
      <c r="B312" s="1" t="s">
        <v>307</v>
      </c>
      <c r="C312" s="2">
        <v>6500</v>
      </c>
      <c r="D312" s="2">
        <f t="shared" si="12"/>
        <v>4550</v>
      </c>
      <c r="E312" s="2">
        <f t="shared" si="13"/>
        <v>-1950</v>
      </c>
      <c r="F312" s="3">
        <f t="shared" si="14"/>
        <v>-0.3</v>
      </c>
      <c r="G312" s="2">
        <v>6500</v>
      </c>
    </row>
    <row r="313" spans="1:7" x14ac:dyDescent="0.2">
      <c r="A313" s="1" t="s">
        <v>323</v>
      </c>
      <c r="B313" s="1" t="s">
        <v>307</v>
      </c>
      <c r="C313" s="2">
        <v>1500</v>
      </c>
      <c r="D313" s="2">
        <f t="shared" si="12"/>
        <v>1050</v>
      </c>
      <c r="E313" s="2">
        <f t="shared" si="13"/>
        <v>-450</v>
      </c>
      <c r="F313" s="3">
        <f t="shared" si="14"/>
        <v>-0.3</v>
      </c>
      <c r="G313" s="2">
        <v>1500</v>
      </c>
    </row>
    <row r="314" spans="1:7" x14ac:dyDescent="0.2">
      <c r="A314" s="1" t="s">
        <v>324</v>
      </c>
      <c r="B314" s="1" t="s">
        <v>307</v>
      </c>
      <c r="C314" s="2">
        <v>2500</v>
      </c>
      <c r="D314" s="2">
        <f t="shared" si="12"/>
        <v>1750</v>
      </c>
      <c r="E314" s="2">
        <f t="shared" si="13"/>
        <v>-750</v>
      </c>
      <c r="F314" s="3">
        <f t="shared" si="14"/>
        <v>-0.3</v>
      </c>
      <c r="G314" s="2">
        <v>2500</v>
      </c>
    </row>
    <row r="315" spans="1:7" x14ac:dyDescent="0.2">
      <c r="A315" s="1" t="s">
        <v>325</v>
      </c>
      <c r="B315" s="1" t="s">
        <v>307</v>
      </c>
      <c r="C315" s="2">
        <v>3500</v>
      </c>
      <c r="D315" s="2">
        <f t="shared" si="12"/>
        <v>2450</v>
      </c>
      <c r="E315" s="2">
        <f t="shared" si="13"/>
        <v>-1050</v>
      </c>
      <c r="F315" s="3">
        <f t="shared" si="14"/>
        <v>-0.3</v>
      </c>
      <c r="G315" s="2">
        <v>3500</v>
      </c>
    </row>
    <row r="316" spans="1:7" x14ac:dyDescent="0.2">
      <c r="A316" s="1" t="s">
        <v>326</v>
      </c>
      <c r="B316" s="1" t="s">
        <v>307</v>
      </c>
      <c r="C316" s="2">
        <v>4500</v>
      </c>
      <c r="D316" s="2">
        <f t="shared" si="12"/>
        <v>3150</v>
      </c>
      <c r="E316" s="2">
        <f t="shared" si="13"/>
        <v>-1350</v>
      </c>
      <c r="F316" s="3">
        <f t="shared" si="14"/>
        <v>-0.3</v>
      </c>
      <c r="G316" s="2">
        <v>4500</v>
      </c>
    </row>
    <row r="317" spans="1:7" x14ac:dyDescent="0.2">
      <c r="A317" s="1" t="s">
        <v>327</v>
      </c>
      <c r="B317" s="1" t="s">
        <v>307</v>
      </c>
      <c r="C317" s="2">
        <v>4500</v>
      </c>
      <c r="D317" s="2">
        <f t="shared" si="12"/>
        <v>3150</v>
      </c>
      <c r="E317" s="2">
        <f t="shared" si="13"/>
        <v>-1350</v>
      </c>
      <c r="F317" s="3">
        <f t="shared" si="14"/>
        <v>-0.3</v>
      </c>
      <c r="G317" s="2">
        <v>4500</v>
      </c>
    </row>
    <row r="318" spans="1:7" x14ac:dyDescent="0.2">
      <c r="A318" s="1" t="s">
        <v>328</v>
      </c>
      <c r="B318" s="1" t="s">
        <v>307</v>
      </c>
      <c r="C318" s="2">
        <v>4500</v>
      </c>
      <c r="D318" s="2">
        <f t="shared" si="12"/>
        <v>3150</v>
      </c>
      <c r="E318" s="2">
        <f t="shared" si="13"/>
        <v>-1350</v>
      </c>
      <c r="F318" s="3">
        <f t="shared" si="14"/>
        <v>-0.3</v>
      </c>
      <c r="G318" s="2">
        <v>4500</v>
      </c>
    </row>
    <row r="319" spans="1:7" x14ac:dyDescent="0.2">
      <c r="A319" s="1" t="s">
        <v>329</v>
      </c>
      <c r="B319" s="1" t="s">
        <v>307</v>
      </c>
      <c r="C319" s="2">
        <v>4500</v>
      </c>
      <c r="D319" s="2">
        <f t="shared" si="12"/>
        <v>3150</v>
      </c>
      <c r="E319" s="2">
        <f t="shared" si="13"/>
        <v>-1350</v>
      </c>
      <c r="F319" s="3">
        <f t="shared" si="14"/>
        <v>-0.3</v>
      </c>
      <c r="G319" s="2">
        <v>4500</v>
      </c>
    </row>
    <row r="320" spans="1:7" x14ac:dyDescent="0.2">
      <c r="A320" s="1" t="s">
        <v>330</v>
      </c>
      <c r="B320" s="1" t="s">
        <v>331</v>
      </c>
      <c r="C320" s="2">
        <v>6500</v>
      </c>
      <c r="D320" s="2">
        <f t="shared" si="12"/>
        <v>4550</v>
      </c>
      <c r="E320" s="2">
        <f t="shared" si="13"/>
        <v>-1950</v>
      </c>
      <c r="F320" s="3">
        <f t="shared" si="14"/>
        <v>-0.3</v>
      </c>
      <c r="G320" s="2">
        <v>6500</v>
      </c>
    </row>
    <row r="321" spans="1:7" x14ac:dyDescent="0.2">
      <c r="A321" s="1" t="s">
        <v>332</v>
      </c>
      <c r="B321" s="1" t="s">
        <v>331</v>
      </c>
      <c r="C321" s="2">
        <v>4500</v>
      </c>
      <c r="D321" s="2">
        <f t="shared" si="12"/>
        <v>3150</v>
      </c>
      <c r="E321" s="2">
        <f t="shared" si="13"/>
        <v>-1350</v>
      </c>
      <c r="F321" s="3">
        <f t="shared" si="14"/>
        <v>-0.3</v>
      </c>
      <c r="G321" s="2">
        <v>4500</v>
      </c>
    </row>
    <row r="322" spans="1:7" x14ac:dyDescent="0.2">
      <c r="A322" s="1" t="s">
        <v>333</v>
      </c>
      <c r="B322" s="1" t="s">
        <v>331</v>
      </c>
      <c r="C322" s="2">
        <v>4500</v>
      </c>
      <c r="D322" s="2">
        <f t="shared" si="12"/>
        <v>3150</v>
      </c>
      <c r="E322" s="2">
        <f t="shared" si="13"/>
        <v>-1350</v>
      </c>
      <c r="F322" s="3">
        <f t="shared" si="14"/>
        <v>-0.3</v>
      </c>
      <c r="G322" s="2">
        <v>4500</v>
      </c>
    </row>
    <row r="323" spans="1:7" x14ac:dyDescent="0.2">
      <c r="A323" s="1" t="s">
        <v>334</v>
      </c>
      <c r="B323" s="1" t="s">
        <v>331</v>
      </c>
      <c r="C323" s="2">
        <v>4500</v>
      </c>
      <c r="D323" s="2">
        <f t="shared" ref="D323:D386" si="15">C323*0.7</f>
        <v>3150</v>
      </c>
      <c r="E323" s="2">
        <f t="shared" ref="E323:E386" si="16">IF(AND(C323&lt;&gt;"",D323&lt;&gt;""),D323-C323,"")</f>
        <v>-1350</v>
      </c>
      <c r="F323" s="3">
        <f t="shared" ref="F323:F386" si="17">IF(AND(C323&lt;&gt;"",D323&lt;&gt;"",C323&gt;0),(D323-C323)/C323,"")</f>
        <v>-0.3</v>
      </c>
      <c r="G323" s="2">
        <v>4500</v>
      </c>
    </row>
    <row r="324" spans="1:7" x14ac:dyDescent="0.2">
      <c r="A324" s="1" t="s">
        <v>335</v>
      </c>
      <c r="B324" s="1" t="s">
        <v>331</v>
      </c>
      <c r="C324" s="2">
        <v>4500</v>
      </c>
      <c r="D324" s="2">
        <f t="shared" si="15"/>
        <v>3150</v>
      </c>
      <c r="E324" s="2">
        <f t="shared" si="16"/>
        <v>-1350</v>
      </c>
      <c r="F324" s="3">
        <f t="shared" si="17"/>
        <v>-0.3</v>
      </c>
      <c r="G324" s="2">
        <v>4500</v>
      </c>
    </row>
    <row r="325" spans="1:7" x14ac:dyDescent="0.2">
      <c r="A325" s="1" t="s">
        <v>336</v>
      </c>
      <c r="B325" s="1" t="s">
        <v>331</v>
      </c>
      <c r="C325" s="2">
        <v>5500</v>
      </c>
      <c r="D325" s="2">
        <f t="shared" si="15"/>
        <v>3849.9999999999995</v>
      </c>
      <c r="E325" s="2">
        <f t="shared" si="16"/>
        <v>-1650.0000000000005</v>
      </c>
      <c r="F325" s="3">
        <f t="shared" si="17"/>
        <v>-0.3000000000000001</v>
      </c>
      <c r="G325" s="2">
        <v>5500</v>
      </c>
    </row>
    <row r="326" spans="1:7" x14ac:dyDescent="0.2">
      <c r="A326" s="1" t="s">
        <v>337</v>
      </c>
      <c r="B326" s="1" t="s">
        <v>331</v>
      </c>
      <c r="C326" s="2">
        <v>2500</v>
      </c>
      <c r="D326" s="2">
        <f t="shared" si="15"/>
        <v>1750</v>
      </c>
      <c r="E326" s="2">
        <f t="shared" si="16"/>
        <v>-750</v>
      </c>
      <c r="F326" s="3">
        <f t="shared" si="17"/>
        <v>-0.3</v>
      </c>
      <c r="G326" s="2">
        <v>2500</v>
      </c>
    </row>
    <row r="327" spans="1:7" x14ac:dyDescent="0.2">
      <c r="A327" s="1" t="s">
        <v>338</v>
      </c>
      <c r="B327" s="1" t="s">
        <v>331</v>
      </c>
      <c r="C327" s="2">
        <v>2500</v>
      </c>
      <c r="D327" s="2">
        <f t="shared" si="15"/>
        <v>1750</v>
      </c>
      <c r="E327" s="2">
        <f t="shared" si="16"/>
        <v>-750</v>
      </c>
      <c r="F327" s="3">
        <f t="shared" si="17"/>
        <v>-0.3</v>
      </c>
      <c r="G327" s="2">
        <v>2500</v>
      </c>
    </row>
    <row r="328" spans="1:7" x14ac:dyDescent="0.2">
      <c r="A328" s="1" t="s">
        <v>339</v>
      </c>
      <c r="B328" s="1" t="s">
        <v>331</v>
      </c>
      <c r="C328" s="2">
        <v>4500</v>
      </c>
      <c r="D328" s="2">
        <f t="shared" si="15"/>
        <v>3150</v>
      </c>
      <c r="E328" s="2">
        <f t="shared" si="16"/>
        <v>-1350</v>
      </c>
      <c r="F328" s="3">
        <f t="shared" si="17"/>
        <v>-0.3</v>
      </c>
      <c r="G328" s="2">
        <v>4500</v>
      </c>
    </row>
    <row r="329" spans="1:7" x14ac:dyDescent="0.2">
      <c r="A329" s="1" t="s">
        <v>340</v>
      </c>
      <c r="B329" s="1" t="s">
        <v>331</v>
      </c>
      <c r="C329" s="2">
        <v>5500</v>
      </c>
      <c r="D329" s="2">
        <f t="shared" si="15"/>
        <v>3849.9999999999995</v>
      </c>
      <c r="E329" s="2">
        <f t="shared" si="16"/>
        <v>-1650.0000000000005</v>
      </c>
      <c r="F329" s="3">
        <f t="shared" si="17"/>
        <v>-0.3000000000000001</v>
      </c>
      <c r="G329" s="2">
        <v>5500</v>
      </c>
    </row>
    <row r="330" spans="1:7" x14ac:dyDescent="0.2">
      <c r="A330" s="1" t="s">
        <v>341</v>
      </c>
      <c r="B330" s="1" t="s">
        <v>331</v>
      </c>
      <c r="C330" s="2">
        <v>1500</v>
      </c>
      <c r="D330" s="2">
        <f t="shared" si="15"/>
        <v>1050</v>
      </c>
      <c r="E330" s="2">
        <f t="shared" si="16"/>
        <v>-450</v>
      </c>
      <c r="F330" s="3">
        <f t="shared" si="17"/>
        <v>-0.3</v>
      </c>
      <c r="G330" s="2">
        <v>1500</v>
      </c>
    </row>
    <row r="331" spans="1:7" x14ac:dyDescent="0.2">
      <c r="A331" s="1" t="s">
        <v>342</v>
      </c>
      <c r="B331" s="1" t="s">
        <v>331</v>
      </c>
      <c r="C331" s="2">
        <v>2500</v>
      </c>
      <c r="D331" s="2">
        <f t="shared" si="15"/>
        <v>1750</v>
      </c>
      <c r="E331" s="2">
        <f t="shared" si="16"/>
        <v>-750</v>
      </c>
      <c r="F331" s="3">
        <f t="shared" si="17"/>
        <v>-0.3</v>
      </c>
      <c r="G331" s="2">
        <v>2500</v>
      </c>
    </row>
    <row r="332" spans="1:7" x14ac:dyDescent="0.2">
      <c r="A332" s="1" t="s">
        <v>343</v>
      </c>
      <c r="B332" s="1" t="s">
        <v>331</v>
      </c>
      <c r="C332" s="2">
        <v>3500</v>
      </c>
      <c r="D332" s="2">
        <f t="shared" si="15"/>
        <v>2450</v>
      </c>
      <c r="E332" s="2">
        <f t="shared" si="16"/>
        <v>-1050</v>
      </c>
      <c r="F332" s="3">
        <f t="shared" si="17"/>
        <v>-0.3</v>
      </c>
      <c r="G332" s="2">
        <v>3500</v>
      </c>
    </row>
    <row r="333" spans="1:7" x14ac:dyDescent="0.2">
      <c r="A333" s="1" t="s">
        <v>344</v>
      </c>
      <c r="B333" s="1" t="s">
        <v>331</v>
      </c>
      <c r="C333" s="2">
        <v>4500</v>
      </c>
      <c r="D333" s="2">
        <f t="shared" si="15"/>
        <v>3150</v>
      </c>
      <c r="E333" s="2">
        <f t="shared" si="16"/>
        <v>-1350</v>
      </c>
      <c r="F333" s="3">
        <f t="shared" si="17"/>
        <v>-0.3</v>
      </c>
      <c r="G333" s="2">
        <v>4500</v>
      </c>
    </row>
    <row r="334" spans="1:7" x14ac:dyDescent="0.2">
      <c r="A334" s="1" t="s">
        <v>345</v>
      </c>
      <c r="B334" s="1" t="s">
        <v>331</v>
      </c>
      <c r="C334" s="2">
        <v>4500</v>
      </c>
      <c r="D334" s="2">
        <f t="shared" si="15"/>
        <v>3150</v>
      </c>
      <c r="E334" s="2">
        <f t="shared" si="16"/>
        <v>-1350</v>
      </c>
      <c r="F334" s="3">
        <f t="shared" si="17"/>
        <v>-0.3</v>
      </c>
      <c r="G334" s="2">
        <v>4500</v>
      </c>
    </row>
    <row r="335" spans="1:7" x14ac:dyDescent="0.2">
      <c r="A335" s="1" t="s">
        <v>346</v>
      </c>
      <c r="B335" s="1" t="s">
        <v>331</v>
      </c>
      <c r="C335" s="2">
        <v>4500</v>
      </c>
      <c r="D335" s="2">
        <f t="shared" si="15"/>
        <v>3150</v>
      </c>
      <c r="E335" s="2">
        <f t="shared" si="16"/>
        <v>-1350</v>
      </c>
      <c r="F335" s="3">
        <f t="shared" si="17"/>
        <v>-0.3</v>
      </c>
      <c r="G335" s="2">
        <v>4500</v>
      </c>
    </row>
    <row r="336" spans="1:7" x14ac:dyDescent="0.2">
      <c r="A336" s="1" t="s">
        <v>347</v>
      </c>
      <c r="B336" s="1" t="s">
        <v>331</v>
      </c>
      <c r="C336" s="2">
        <v>4500</v>
      </c>
      <c r="D336" s="2">
        <f t="shared" si="15"/>
        <v>3150</v>
      </c>
      <c r="E336" s="2">
        <f t="shared" si="16"/>
        <v>-1350</v>
      </c>
      <c r="F336" s="3">
        <f t="shared" si="17"/>
        <v>-0.3</v>
      </c>
      <c r="G336" s="2">
        <v>4500</v>
      </c>
    </row>
    <row r="337" spans="1:7" x14ac:dyDescent="0.2">
      <c r="A337" s="1" t="s">
        <v>348</v>
      </c>
      <c r="B337" s="1" t="s">
        <v>349</v>
      </c>
      <c r="C337" s="2">
        <v>10000</v>
      </c>
      <c r="D337" s="2">
        <f t="shared" si="15"/>
        <v>7000</v>
      </c>
      <c r="E337" s="2">
        <f t="shared" si="16"/>
        <v>-3000</v>
      </c>
      <c r="F337" s="3">
        <f t="shared" si="17"/>
        <v>-0.3</v>
      </c>
      <c r="G337" s="2">
        <v>10000</v>
      </c>
    </row>
    <row r="338" spans="1:7" x14ac:dyDescent="0.2">
      <c r="A338" s="1" t="s">
        <v>350</v>
      </c>
      <c r="B338" s="1" t="s">
        <v>349</v>
      </c>
      <c r="C338" s="2">
        <v>17500</v>
      </c>
      <c r="D338" s="2">
        <f t="shared" si="15"/>
        <v>12250</v>
      </c>
      <c r="E338" s="2">
        <f t="shared" si="16"/>
        <v>-5250</v>
      </c>
      <c r="F338" s="3">
        <f t="shared" si="17"/>
        <v>-0.3</v>
      </c>
      <c r="G338" s="2">
        <v>17500</v>
      </c>
    </row>
    <row r="339" spans="1:7" x14ac:dyDescent="0.2">
      <c r="A339" s="1" t="s">
        <v>351</v>
      </c>
      <c r="B339" s="1" t="s">
        <v>349</v>
      </c>
      <c r="C339" s="2">
        <v>89</v>
      </c>
      <c r="D339" s="2">
        <f t="shared" si="15"/>
        <v>62.3</v>
      </c>
      <c r="E339" s="2">
        <f t="shared" si="16"/>
        <v>-26.700000000000003</v>
      </c>
      <c r="F339" s="3">
        <f t="shared" si="17"/>
        <v>-0.30000000000000004</v>
      </c>
      <c r="G339" s="2">
        <v>89</v>
      </c>
    </row>
    <row r="340" spans="1:7" x14ac:dyDescent="0.2">
      <c r="A340" s="1" t="s">
        <v>352</v>
      </c>
      <c r="B340" s="1" t="s">
        <v>349</v>
      </c>
      <c r="C340" s="2">
        <v>10</v>
      </c>
      <c r="D340" s="2">
        <f t="shared" si="15"/>
        <v>7</v>
      </c>
      <c r="E340" s="2">
        <f t="shared" si="16"/>
        <v>-3</v>
      </c>
      <c r="F340" s="3">
        <f t="shared" si="17"/>
        <v>-0.3</v>
      </c>
      <c r="G340" s="2">
        <v>10</v>
      </c>
    </row>
    <row r="341" spans="1:7" x14ac:dyDescent="0.2">
      <c r="A341" s="1" t="s">
        <v>353</v>
      </c>
      <c r="B341" s="1" t="s">
        <v>349</v>
      </c>
      <c r="C341" s="2">
        <v>15000</v>
      </c>
      <c r="D341" s="2">
        <f t="shared" si="15"/>
        <v>10500</v>
      </c>
      <c r="E341" s="2">
        <f t="shared" si="16"/>
        <v>-4500</v>
      </c>
      <c r="F341" s="3">
        <f t="shared" si="17"/>
        <v>-0.3</v>
      </c>
      <c r="G341" s="2">
        <v>15000</v>
      </c>
    </row>
    <row r="342" spans="1:7" x14ac:dyDescent="0.2">
      <c r="A342" s="1" t="s">
        <v>354</v>
      </c>
      <c r="B342" s="1" t="s">
        <v>349</v>
      </c>
      <c r="C342" s="2">
        <v>22000</v>
      </c>
      <c r="D342" s="2">
        <f t="shared" si="15"/>
        <v>15399.999999999998</v>
      </c>
      <c r="E342" s="2">
        <f t="shared" si="16"/>
        <v>-6600.0000000000018</v>
      </c>
      <c r="F342" s="3">
        <f t="shared" si="17"/>
        <v>-0.3000000000000001</v>
      </c>
      <c r="G342" s="2">
        <v>22000</v>
      </c>
    </row>
    <row r="343" spans="1:7" x14ac:dyDescent="0.2">
      <c r="A343" s="1" t="s">
        <v>355</v>
      </c>
      <c r="B343" s="1" t="s">
        <v>349</v>
      </c>
      <c r="C343" s="2">
        <v>32000</v>
      </c>
      <c r="D343" s="2">
        <f t="shared" si="15"/>
        <v>22400</v>
      </c>
      <c r="E343" s="2">
        <f t="shared" si="16"/>
        <v>-9600</v>
      </c>
      <c r="F343" s="3">
        <f t="shared" si="17"/>
        <v>-0.3</v>
      </c>
      <c r="G343" s="2">
        <v>32000</v>
      </c>
    </row>
    <row r="344" spans="1:7" x14ac:dyDescent="0.2">
      <c r="A344" s="1" t="s">
        <v>356</v>
      </c>
      <c r="B344" s="1" t="s">
        <v>349</v>
      </c>
      <c r="C344" s="2">
        <v>125000</v>
      </c>
      <c r="D344" s="2">
        <f t="shared" si="15"/>
        <v>87500</v>
      </c>
      <c r="E344" s="2">
        <f t="shared" si="16"/>
        <v>-37500</v>
      </c>
      <c r="F344" s="3">
        <f t="shared" si="17"/>
        <v>-0.3</v>
      </c>
      <c r="G344" s="2">
        <v>125000</v>
      </c>
    </row>
    <row r="345" spans="1:7" x14ac:dyDescent="0.2">
      <c r="A345" s="1" t="s">
        <v>357</v>
      </c>
      <c r="B345" s="1" t="s">
        <v>349</v>
      </c>
      <c r="C345" s="2">
        <v>1500</v>
      </c>
      <c r="D345" s="2">
        <f t="shared" si="15"/>
        <v>1050</v>
      </c>
      <c r="E345" s="2">
        <f t="shared" si="16"/>
        <v>-450</v>
      </c>
      <c r="F345" s="3">
        <f t="shared" si="17"/>
        <v>-0.3</v>
      </c>
      <c r="G345" s="2">
        <v>1500</v>
      </c>
    </row>
    <row r="346" spans="1:7" x14ac:dyDescent="0.2">
      <c r="A346" s="1" t="s">
        <v>358</v>
      </c>
      <c r="B346" s="1" t="s">
        <v>349</v>
      </c>
      <c r="C346" s="2">
        <v>15000</v>
      </c>
      <c r="D346" s="2">
        <f t="shared" si="15"/>
        <v>10500</v>
      </c>
      <c r="E346" s="2">
        <f t="shared" si="16"/>
        <v>-4500</v>
      </c>
      <c r="F346" s="3">
        <f t="shared" si="17"/>
        <v>-0.3</v>
      </c>
      <c r="G346" s="2">
        <v>15000</v>
      </c>
    </row>
    <row r="347" spans="1:7" x14ac:dyDescent="0.2">
      <c r="A347" s="1" t="s">
        <v>359</v>
      </c>
      <c r="B347" s="1" t="s">
        <v>349</v>
      </c>
      <c r="C347" s="2">
        <v>25000</v>
      </c>
      <c r="D347" s="2">
        <f t="shared" si="15"/>
        <v>17500</v>
      </c>
      <c r="E347" s="2">
        <f t="shared" si="16"/>
        <v>-7500</v>
      </c>
      <c r="F347" s="3">
        <f t="shared" si="17"/>
        <v>-0.3</v>
      </c>
      <c r="G347" s="2">
        <v>25000</v>
      </c>
    </row>
    <row r="348" spans="1:7" x14ac:dyDescent="0.2">
      <c r="A348" s="1" t="s">
        <v>360</v>
      </c>
      <c r="B348" s="1" t="s">
        <v>349</v>
      </c>
      <c r="C348" s="2">
        <v>55000</v>
      </c>
      <c r="D348" s="2">
        <f t="shared" si="15"/>
        <v>38500</v>
      </c>
      <c r="E348" s="2">
        <f t="shared" si="16"/>
        <v>-16500</v>
      </c>
      <c r="F348" s="3">
        <f t="shared" si="17"/>
        <v>-0.3</v>
      </c>
      <c r="G348" s="2">
        <v>55000</v>
      </c>
    </row>
    <row r="349" spans="1:7" x14ac:dyDescent="0.2">
      <c r="A349" s="1" t="s">
        <v>361</v>
      </c>
      <c r="B349" s="1" t="s">
        <v>349</v>
      </c>
      <c r="C349" s="2">
        <v>3500</v>
      </c>
      <c r="D349" s="2">
        <f t="shared" si="15"/>
        <v>2450</v>
      </c>
      <c r="E349" s="2">
        <f t="shared" si="16"/>
        <v>-1050</v>
      </c>
      <c r="F349" s="3">
        <f t="shared" si="17"/>
        <v>-0.3</v>
      </c>
      <c r="G349" s="2">
        <v>3500</v>
      </c>
    </row>
    <row r="350" spans="1:7" x14ac:dyDescent="0.2">
      <c r="A350" s="1" t="s">
        <v>362</v>
      </c>
      <c r="B350" s="1" t="s">
        <v>349</v>
      </c>
      <c r="C350" s="2">
        <v>2800</v>
      </c>
      <c r="D350" s="2">
        <f t="shared" si="15"/>
        <v>1959.9999999999998</v>
      </c>
      <c r="E350" s="2">
        <f t="shared" si="16"/>
        <v>-840.00000000000023</v>
      </c>
      <c r="F350" s="3">
        <f t="shared" si="17"/>
        <v>-0.3000000000000001</v>
      </c>
      <c r="G350" s="2">
        <v>2800</v>
      </c>
    </row>
    <row r="351" spans="1:7" x14ac:dyDescent="0.2">
      <c r="A351" s="1" t="s">
        <v>363</v>
      </c>
      <c r="B351" s="1" t="s">
        <v>349</v>
      </c>
      <c r="C351" s="2">
        <v>8200</v>
      </c>
      <c r="D351" s="2">
        <f t="shared" si="15"/>
        <v>5740</v>
      </c>
      <c r="E351" s="2">
        <f t="shared" si="16"/>
        <v>-2460</v>
      </c>
      <c r="F351" s="3">
        <f t="shared" si="17"/>
        <v>-0.3</v>
      </c>
      <c r="G351" s="2">
        <v>8200</v>
      </c>
    </row>
    <row r="352" spans="1:7" x14ac:dyDescent="0.2">
      <c r="A352" s="1" t="s">
        <v>364</v>
      </c>
      <c r="B352" s="1" t="s">
        <v>349</v>
      </c>
      <c r="C352" s="2">
        <v>8000</v>
      </c>
      <c r="D352" s="2">
        <f t="shared" si="15"/>
        <v>5600</v>
      </c>
      <c r="E352" s="2">
        <f t="shared" si="16"/>
        <v>-2400</v>
      </c>
      <c r="F352" s="3">
        <f t="shared" si="17"/>
        <v>-0.3</v>
      </c>
      <c r="G352" s="2">
        <v>8000</v>
      </c>
    </row>
    <row r="353" spans="1:7" x14ac:dyDescent="0.2">
      <c r="A353" s="1" t="s">
        <v>365</v>
      </c>
      <c r="B353" s="1" t="s">
        <v>349</v>
      </c>
      <c r="C353" s="2">
        <v>12000</v>
      </c>
      <c r="D353" s="2">
        <f t="shared" si="15"/>
        <v>8400</v>
      </c>
      <c r="E353" s="2">
        <f t="shared" si="16"/>
        <v>-3600</v>
      </c>
      <c r="F353" s="3">
        <f t="shared" si="17"/>
        <v>-0.3</v>
      </c>
      <c r="G353" s="2">
        <v>12000</v>
      </c>
    </row>
    <row r="354" spans="1:7" x14ac:dyDescent="0.2">
      <c r="A354" s="1" t="s">
        <v>366</v>
      </c>
      <c r="B354" s="1" t="s">
        <v>349</v>
      </c>
      <c r="C354" s="2">
        <v>11000</v>
      </c>
      <c r="D354" s="2">
        <f t="shared" si="15"/>
        <v>7699.9999999999991</v>
      </c>
      <c r="E354" s="2">
        <f t="shared" si="16"/>
        <v>-3300.0000000000009</v>
      </c>
      <c r="F354" s="3">
        <f t="shared" si="17"/>
        <v>-0.3000000000000001</v>
      </c>
      <c r="G354" s="2">
        <v>11000</v>
      </c>
    </row>
    <row r="355" spans="1:7" x14ac:dyDescent="0.2">
      <c r="A355" s="1" t="s">
        <v>367</v>
      </c>
      <c r="B355" s="1" t="s">
        <v>349</v>
      </c>
      <c r="C355" s="2">
        <v>150</v>
      </c>
      <c r="D355" s="2">
        <f t="shared" si="15"/>
        <v>105</v>
      </c>
      <c r="E355" s="2">
        <f t="shared" si="16"/>
        <v>-45</v>
      </c>
      <c r="F355" s="3">
        <f t="shared" si="17"/>
        <v>-0.3</v>
      </c>
      <c r="G355" s="2">
        <v>150</v>
      </c>
    </row>
    <row r="356" spans="1:7" x14ac:dyDescent="0.2">
      <c r="A356" s="1" t="s">
        <v>368</v>
      </c>
      <c r="B356" s="1" t="s">
        <v>349</v>
      </c>
      <c r="C356" s="2">
        <v>120</v>
      </c>
      <c r="D356" s="2">
        <f t="shared" si="15"/>
        <v>84</v>
      </c>
      <c r="E356" s="2">
        <f t="shared" si="16"/>
        <v>-36</v>
      </c>
      <c r="F356" s="3">
        <f t="shared" si="17"/>
        <v>-0.3</v>
      </c>
      <c r="G356" s="2">
        <v>120</v>
      </c>
    </row>
    <row r="357" spans="1:7" x14ac:dyDescent="0.2">
      <c r="A357" s="1" t="s">
        <v>369</v>
      </c>
      <c r="B357" s="1" t="s">
        <v>349</v>
      </c>
      <c r="C357" s="2">
        <v>18900</v>
      </c>
      <c r="D357" s="2">
        <f t="shared" si="15"/>
        <v>13230</v>
      </c>
      <c r="E357" s="2">
        <f t="shared" si="16"/>
        <v>-5670</v>
      </c>
      <c r="F357" s="3">
        <f t="shared" si="17"/>
        <v>-0.3</v>
      </c>
      <c r="G357" s="2">
        <v>18900</v>
      </c>
    </row>
    <row r="358" spans="1:7" x14ac:dyDescent="0.2">
      <c r="A358" s="1" t="s">
        <v>370</v>
      </c>
      <c r="B358" s="1" t="s">
        <v>349</v>
      </c>
      <c r="C358" s="2">
        <v>31500</v>
      </c>
      <c r="D358" s="2">
        <f t="shared" si="15"/>
        <v>22050</v>
      </c>
      <c r="E358" s="2">
        <f t="shared" si="16"/>
        <v>-9450</v>
      </c>
      <c r="F358" s="3">
        <f t="shared" si="17"/>
        <v>-0.3</v>
      </c>
      <c r="G358" s="2">
        <v>31500</v>
      </c>
    </row>
    <row r="359" spans="1:7" x14ac:dyDescent="0.2">
      <c r="A359" s="1" t="s">
        <v>371</v>
      </c>
      <c r="B359" s="1" t="s">
        <v>349</v>
      </c>
      <c r="C359" s="2">
        <v>44100</v>
      </c>
      <c r="D359" s="2">
        <f t="shared" si="15"/>
        <v>30869.999999999996</v>
      </c>
      <c r="E359" s="2">
        <f t="shared" si="16"/>
        <v>-13230.000000000004</v>
      </c>
      <c r="F359" s="3">
        <f t="shared" si="17"/>
        <v>-0.3000000000000001</v>
      </c>
      <c r="G359" s="2">
        <v>44100</v>
      </c>
    </row>
    <row r="360" spans="1:7" x14ac:dyDescent="0.2">
      <c r="A360" s="1" t="s">
        <v>372</v>
      </c>
      <c r="B360" s="1" t="s">
        <v>349</v>
      </c>
      <c r="C360" s="2">
        <v>1500</v>
      </c>
      <c r="D360" s="2">
        <f t="shared" si="15"/>
        <v>1050</v>
      </c>
      <c r="E360" s="2">
        <f t="shared" si="16"/>
        <v>-450</v>
      </c>
      <c r="F360" s="3">
        <f t="shared" si="17"/>
        <v>-0.3</v>
      </c>
      <c r="G360" s="2">
        <v>1500</v>
      </c>
    </row>
    <row r="361" spans="1:7" x14ac:dyDescent="0.2">
      <c r="A361" s="1" t="s">
        <v>373</v>
      </c>
      <c r="B361" s="1" t="s">
        <v>349</v>
      </c>
      <c r="C361" s="2">
        <v>75600</v>
      </c>
      <c r="D361" s="2">
        <f t="shared" si="15"/>
        <v>52920</v>
      </c>
      <c r="E361" s="2">
        <f t="shared" si="16"/>
        <v>-22680</v>
      </c>
      <c r="F361" s="3">
        <f t="shared" si="17"/>
        <v>-0.3</v>
      </c>
      <c r="G361" s="2">
        <v>75600</v>
      </c>
    </row>
    <row r="362" spans="1:7" x14ac:dyDescent="0.2">
      <c r="A362" s="1" t="s">
        <v>374</v>
      </c>
      <c r="B362" s="1" t="s">
        <v>349</v>
      </c>
      <c r="C362" s="2">
        <v>113400</v>
      </c>
      <c r="D362" s="2">
        <f t="shared" si="15"/>
        <v>79380</v>
      </c>
      <c r="E362" s="2">
        <f t="shared" si="16"/>
        <v>-34020</v>
      </c>
      <c r="F362" s="3">
        <f t="shared" si="17"/>
        <v>-0.3</v>
      </c>
      <c r="G362" s="2">
        <v>113400</v>
      </c>
    </row>
    <row r="363" spans="1:7" x14ac:dyDescent="0.2">
      <c r="A363" s="1" t="s">
        <v>375</v>
      </c>
      <c r="B363" s="1" t="s">
        <v>349</v>
      </c>
      <c r="C363" s="2">
        <v>50400</v>
      </c>
      <c r="D363" s="2">
        <f t="shared" si="15"/>
        <v>35280</v>
      </c>
      <c r="E363" s="2">
        <f t="shared" si="16"/>
        <v>-15120</v>
      </c>
      <c r="F363" s="3">
        <f t="shared" si="17"/>
        <v>-0.3</v>
      </c>
      <c r="G363" s="2">
        <v>50400</v>
      </c>
    </row>
    <row r="364" spans="1:7" x14ac:dyDescent="0.2">
      <c r="A364" s="1" t="s">
        <v>376</v>
      </c>
      <c r="B364" s="1" t="s">
        <v>377</v>
      </c>
      <c r="C364" s="2">
        <v>7500</v>
      </c>
      <c r="D364" s="2">
        <f t="shared" si="15"/>
        <v>5250</v>
      </c>
      <c r="E364" s="2">
        <f t="shared" si="16"/>
        <v>-2250</v>
      </c>
      <c r="F364" s="3">
        <f t="shared" si="17"/>
        <v>-0.3</v>
      </c>
      <c r="G364" s="2">
        <v>7500</v>
      </c>
    </row>
    <row r="365" spans="1:7" x14ac:dyDescent="0.2">
      <c r="A365" s="1" t="s">
        <v>378</v>
      </c>
      <c r="B365" s="1" t="s">
        <v>377</v>
      </c>
      <c r="C365" s="2">
        <v>10000</v>
      </c>
      <c r="D365" s="2">
        <f t="shared" si="15"/>
        <v>7000</v>
      </c>
      <c r="E365" s="2">
        <f t="shared" si="16"/>
        <v>-3000</v>
      </c>
      <c r="F365" s="3">
        <f t="shared" si="17"/>
        <v>-0.3</v>
      </c>
      <c r="G365" s="2">
        <v>10000</v>
      </c>
    </row>
    <row r="366" spans="1:7" x14ac:dyDescent="0.2">
      <c r="A366" s="1" t="s">
        <v>379</v>
      </c>
      <c r="B366" s="1" t="s">
        <v>377</v>
      </c>
      <c r="C366" s="2">
        <v>8200</v>
      </c>
      <c r="D366" s="2">
        <f t="shared" si="15"/>
        <v>5740</v>
      </c>
      <c r="E366" s="2">
        <f t="shared" si="16"/>
        <v>-2460</v>
      </c>
      <c r="F366" s="3">
        <f t="shared" si="17"/>
        <v>-0.3</v>
      </c>
      <c r="G366" s="2">
        <v>8200</v>
      </c>
    </row>
    <row r="367" spans="1:7" x14ac:dyDescent="0.2">
      <c r="A367" s="1" t="s">
        <v>380</v>
      </c>
      <c r="B367" s="1" t="s">
        <v>377</v>
      </c>
      <c r="C367" s="2">
        <v>10000</v>
      </c>
      <c r="D367" s="2">
        <f t="shared" si="15"/>
        <v>7000</v>
      </c>
      <c r="E367" s="2">
        <f t="shared" si="16"/>
        <v>-3000</v>
      </c>
      <c r="F367" s="3">
        <f t="shared" si="17"/>
        <v>-0.3</v>
      </c>
      <c r="G367" s="2">
        <v>10000</v>
      </c>
    </row>
    <row r="368" spans="1:7" x14ac:dyDescent="0.2">
      <c r="A368" s="1" t="s">
        <v>381</v>
      </c>
      <c r="B368" s="1" t="s">
        <v>377</v>
      </c>
      <c r="C368" s="2">
        <v>7500</v>
      </c>
      <c r="D368" s="2">
        <f t="shared" si="15"/>
        <v>5250</v>
      </c>
      <c r="E368" s="2">
        <f t="shared" si="16"/>
        <v>-2250</v>
      </c>
      <c r="F368" s="3">
        <f t="shared" si="17"/>
        <v>-0.3</v>
      </c>
      <c r="G368" s="2">
        <v>7500</v>
      </c>
    </row>
    <row r="369" spans="1:7" x14ac:dyDescent="0.2">
      <c r="A369" s="1" t="s">
        <v>382</v>
      </c>
      <c r="B369" s="1" t="s">
        <v>377</v>
      </c>
      <c r="C369" s="2">
        <v>10000</v>
      </c>
      <c r="D369" s="2">
        <f t="shared" si="15"/>
        <v>7000</v>
      </c>
      <c r="E369" s="2">
        <f t="shared" si="16"/>
        <v>-3000</v>
      </c>
      <c r="F369" s="3">
        <f t="shared" si="17"/>
        <v>-0.3</v>
      </c>
      <c r="G369" s="2">
        <v>10000</v>
      </c>
    </row>
    <row r="370" spans="1:7" x14ac:dyDescent="0.2">
      <c r="A370" s="1" t="s">
        <v>383</v>
      </c>
      <c r="B370" s="1" t="s">
        <v>377</v>
      </c>
      <c r="C370" s="2">
        <v>55000</v>
      </c>
      <c r="D370" s="2">
        <f t="shared" si="15"/>
        <v>38500</v>
      </c>
      <c r="E370" s="2">
        <f t="shared" si="16"/>
        <v>-16500</v>
      </c>
      <c r="F370" s="3">
        <f t="shared" si="17"/>
        <v>-0.3</v>
      </c>
      <c r="G370" s="2">
        <v>55000</v>
      </c>
    </row>
    <row r="371" spans="1:7" x14ac:dyDescent="0.2">
      <c r="A371" s="1" t="s">
        <v>384</v>
      </c>
      <c r="B371" s="1" t="s">
        <v>377</v>
      </c>
      <c r="C371" s="2">
        <v>7500</v>
      </c>
      <c r="D371" s="2">
        <f t="shared" si="15"/>
        <v>5250</v>
      </c>
      <c r="E371" s="2">
        <f t="shared" si="16"/>
        <v>-2250</v>
      </c>
      <c r="F371" s="3">
        <f t="shared" si="17"/>
        <v>-0.3</v>
      </c>
      <c r="G371" s="2">
        <v>7500</v>
      </c>
    </row>
    <row r="372" spans="1:7" x14ac:dyDescent="0.2">
      <c r="A372" s="1" t="s">
        <v>385</v>
      </c>
      <c r="B372" s="1" t="s">
        <v>377</v>
      </c>
      <c r="C372" s="2">
        <v>10000</v>
      </c>
      <c r="D372" s="2">
        <f t="shared" si="15"/>
        <v>7000</v>
      </c>
      <c r="E372" s="2">
        <f t="shared" si="16"/>
        <v>-3000</v>
      </c>
      <c r="F372" s="3">
        <f t="shared" si="17"/>
        <v>-0.3</v>
      </c>
      <c r="G372" s="2">
        <v>10000</v>
      </c>
    </row>
    <row r="373" spans="1:7" x14ac:dyDescent="0.2">
      <c r="A373" s="1" t="s">
        <v>386</v>
      </c>
      <c r="B373" s="1" t="s">
        <v>377</v>
      </c>
      <c r="C373" s="2">
        <v>8200</v>
      </c>
      <c r="D373" s="2">
        <f t="shared" si="15"/>
        <v>5740</v>
      </c>
      <c r="E373" s="2">
        <f t="shared" si="16"/>
        <v>-2460</v>
      </c>
      <c r="F373" s="3">
        <f t="shared" si="17"/>
        <v>-0.3</v>
      </c>
      <c r="G373" s="2">
        <v>8200</v>
      </c>
    </row>
    <row r="374" spans="1:7" x14ac:dyDescent="0.2">
      <c r="A374" s="1" t="s">
        <v>387</v>
      </c>
      <c r="B374" s="1" t="s">
        <v>377</v>
      </c>
      <c r="C374" s="2">
        <v>45000</v>
      </c>
      <c r="D374" s="2">
        <f t="shared" si="15"/>
        <v>31499.999999999996</v>
      </c>
      <c r="E374" s="2">
        <f t="shared" si="16"/>
        <v>-13500.000000000004</v>
      </c>
      <c r="F374" s="3">
        <f t="shared" si="17"/>
        <v>-0.3000000000000001</v>
      </c>
      <c r="G374" s="2">
        <v>45000</v>
      </c>
    </row>
    <row r="375" spans="1:7" x14ac:dyDescent="0.2">
      <c r="A375" s="1" t="s">
        <v>388</v>
      </c>
      <c r="B375" s="1" t="s">
        <v>377</v>
      </c>
      <c r="C375" s="2">
        <v>1500</v>
      </c>
      <c r="D375" s="2">
        <f t="shared" si="15"/>
        <v>1050</v>
      </c>
      <c r="E375" s="2">
        <f t="shared" si="16"/>
        <v>-450</v>
      </c>
      <c r="F375" s="3">
        <f t="shared" si="17"/>
        <v>-0.3</v>
      </c>
      <c r="G375" s="2">
        <v>1500</v>
      </c>
    </row>
    <row r="376" spans="1:7" x14ac:dyDescent="0.2">
      <c r="A376" s="1" t="s">
        <v>389</v>
      </c>
      <c r="B376" s="1" t="s">
        <v>377</v>
      </c>
      <c r="C376" s="2">
        <v>8400</v>
      </c>
      <c r="D376" s="2">
        <f t="shared" si="15"/>
        <v>5880</v>
      </c>
      <c r="E376" s="2">
        <f t="shared" si="16"/>
        <v>-2520</v>
      </c>
      <c r="F376" s="3">
        <f t="shared" si="17"/>
        <v>-0.3</v>
      </c>
      <c r="G376" s="2">
        <v>8400</v>
      </c>
    </row>
    <row r="377" spans="1:7" x14ac:dyDescent="0.2">
      <c r="A377" s="1" t="s">
        <v>390</v>
      </c>
      <c r="B377" s="1" t="s">
        <v>377</v>
      </c>
      <c r="C377" s="2">
        <v>8200</v>
      </c>
      <c r="D377" s="2">
        <f t="shared" si="15"/>
        <v>5740</v>
      </c>
      <c r="E377" s="2">
        <f t="shared" si="16"/>
        <v>-2460</v>
      </c>
      <c r="F377" s="3">
        <f t="shared" si="17"/>
        <v>-0.3</v>
      </c>
      <c r="G377" s="2">
        <v>8200</v>
      </c>
    </row>
    <row r="378" spans="1:7" x14ac:dyDescent="0.2">
      <c r="A378" s="1" t="s">
        <v>391</v>
      </c>
      <c r="B378" s="1" t="s">
        <v>377</v>
      </c>
      <c r="C378" s="2">
        <v>10000</v>
      </c>
      <c r="D378" s="2">
        <f t="shared" si="15"/>
        <v>7000</v>
      </c>
      <c r="E378" s="2">
        <f t="shared" si="16"/>
        <v>-3000</v>
      </c>
      <c r="F378" s="3">
        <f t="shared" si="17"/>
        <v>-0.3</v>
      </c>
      <c r="G378" s="2">
        <v>10000</v>
      </c>
    </row>
    <row r="379" spans="1:7" x14ac:dyDescent="0.2">
      <c r="A379" s="1" t="s">
        <v>392</v>
      </c>
      <c r="B379" s="1" t="s">
        <v>377</v>
      </c>
      <c r="C379" s="2">
        <v>7500</v>
      </c>
      <c r="D379" s="2">
        <f t="shared" si="15"/>
        <v>5250</v>
      </c>
      <c r="E379" s="2">
        <f t="shared" si="16"/>
        <v>-2250</v>
      </c>
      <c r="F379" s="3">
        <f t="shared" si="17"/>
        <v>-0.3</v>
      </c>
      <c r="G379" s="2">
        <v>7500</v>
      </c>
    </row>
    <row r="380" spans="1:7" x14ac:dyDescent="0.2">
      <c r="A380" s="1" t="s">
        <v>393</v>
      </c>
      <c r="B380" s="1" t="s">
        <v>377</v>
      </c>
      <c r="C380" s="2">
        <v>7500</v>
      </c>
      <c r="D380" s="2">
        <f t="shared" si="15"/>
        <v>5250</v>
      </c>
      <c r="E380" s="2">
        <f t="shared" si="16"/>
        <v>-2250</v>
      </c>
      <c r="F380" s="3">
        <f t="shared" si="17"/>
        <v>-0.3</v>
      </c>
      <c r="G380" s="2">
        <v>7500</v>
      </c>
    </row>
    <row r="381" spans="1:7" x14ac:dyDescent="0.2">
      <c r="A381" s="1" t="s">
        <v>394</v>
      </c>
      <c r="B381" s="1" t="s">
        <v>377</v>
      </c>
      <c r="C381" s="2">
        <v>10000</v>
      </c>
      <c r="D381" s="2">
        <f t="shared" si="15"/>
        <v>7000</v>
      </c>
      <c r="E381" s="2">
        <f t="shared" si="16"/>
        <v>-3000</v>
      </c>
      <c r="F381" s="3">
        <f t="shared" si="17"/>
        <v>-0.3</v>
      </c>
      <c r="G381" s="2">
        <v>10000</v>
      </c>
    </row>
    <row r="382" spans="1:7" x14ac:dyDescent="0.2">
      <c r="A382" s="1" t="s">
        <v>395</v>
      </c>
      <c r="B382" s="1" t="s">
        <v>377</v>
      </c>
      <c r="C382" s="2">
        <v>7500</v>
      </c>
      <c r="D382" s="2">
        <f t="shared" si="15"/>
        <v>5250</v>
      </c>
      <c r="E382" s="2">
        <f t="shared" si="16"/>
        <v>-2250</v>
      </c>
      <c r="F382" s="3">
        <f t="shared" si="17"/>
        <v>-0.3</v>
      </c>
      <c r="G382" s="2">
        <v>7500</v>
      </c>
    </row>
    <row r="383" spans="1:7" x14ac:dyDescent="0.2">
      <c r="A383" s="1" t="s">
        <v>396</v>
      </c>
      <c r="B383" s="1" t="s">
        <v>377</v>
      </c>
      <c r="C383" s="2">
        <v>7500</v>
      </c>
      <c r="D383" s="2">
        <f t="shared" si="15"/>
        <v>5250</v>
      </c>
      <c r="E383" s="2">
        <f t="shared" si="16"/>
        <v>-2250</v>
      </c>
      <c r="F383" s="3">
        <f t="shared" si="17"/>
        <v>-0.3</v>
      </c>
      <c r="G383" s="2">
        <v>7500</v>
      </c>
    </row>
    <row r="384" spans="1:7" x14ac:dyDescent="0.2">
      <c r="A384" s="1" t="s">
        <v>397</v>
      </c>
      <c r="B384" s="1" t="s">
        <v>377</v>
      </c>
      <c r="C384" s="2">
        <v>1500</v>
      </c>
      <c r="D384" s="2">
        <f t="shared" si="15"/>
        <v>1050</v>
      </c>
      <c r="E384" s="2">
        <f t="shared" si="16"/>
        <v>-450</v>
      </c>
      <c r="F384" s="3">
        <f t="shared" si="17"/>
        <v>-0.3</v>
      </c>
      <c r="G384" s="2">
        <v>1500</v>
      </c>
    </row>
    <row r="385" spans="1:7" x14ac:dyDescent="0.2">
      <c r="A385" s="1" t="s">
        <v>398</v>
      </c>
      <c r="B385" s="1" t="s">
        <v>377</v>
      </c>
      <c r="C385" s="2">
        <v>7800</v>
      </c>
      <c r="D385" s="2">
        <f t="shared" si="15"/>
        <v>5460</v>
      </c>
      <c r="E385" s="2">
        <f t="shared" si="16"/>
        <v>-2340</v>
      </c>
      <c r="F385" s="3">
        <f t="shared" si="17"/>
        <v>-0.3</v>
      </c>
      <c r="G385" s="2">
        <v>7800</v>
      </c>
    </row>
    <row r="386" spans="1:7" x14ac:dyDescent="0.2">
      <c r="A386" s="1" t="s">
        <v>399</v>
      </c>
      <c r="B386" s="1" t="s">
        <v>377</v>
      </c>
      <c r="C386" s="2">
        <v>8200</v>
      </c>
      <c r="D386" s="2">
        <f t="shared" si="15"/>
        <v>5740</v>
      </c>
      <c r="E386" s="2">
        <f t="shared" si="16"/>
        <v>-2460</v>
      </c>
      <c r="F386" s="3">
        <f t="shared" si="17"/>
        <v>-0.3</v>
      </c>
      <c r="G386" s="2">
        <v>8200</v>
      </c>
    </row>
    <row r="387" spans="1:7" x14ac:dyDescent="0.2">
      <c r="A387" s="1" t="s">
        <v>400</v>
      </c>
      <c r="B387" s="1" t="s">
        <v>401</v>
      </c>
      <c r="C387" s="2">
        <v>150</v>
      </c>
      <c r="D387" s="2">
        <f t="shared" ref="D387:D451" si="18">C387*0.7</f>
        <v>105</v>
      </c>
      <c r="E387" s="2">
        <f t="shared" ref="E387:E450" si="19">IF(AND(C387&lt;&gt;"",D387&lt;&gt;""),D387-C387,"")</f>
        <v>-45</v>
      </c>
      <c r="F387" s="3">
        <f t="shared" ref="F387:F450" si="20">IF(AND(C387&lt;&gt;"",D387&lt;&gt;"",C387&gt;0),(D387-C387)/C387,"")</f>
        <v>-0.3</v>
      </c>
      <c r="G387" s="2">
        <v>150</v>
      </c>
    </row>
    <row r="388" spans="1:7" x14ac:dyDescent="0.2">
      <c r="A388" s="1" t="s">
        <v>402</v>
      </c>
      <c r="B388" s="1" t="s">
        <v>403</v>
      </c>
      <c r="C388" s="2">
        <v>89</v>
      </c>
      <c r="D388" s="2">
        <f t="shared" si="18"/>
        <v>62.3</v>
      </c>
      <c r="E388" s="2">
        <f t="shared" si="19"/>
        <v>-26.700000000000003</v>
      </c>
      <c r="F388" s="3">
        <f t="shared" si="20"/>
        <v>-0.30000000000000004</v>
      </c>
      <c r="G388" s="2">
        <v>89</v>
      </c>
    </row>
    <row r="389" spans="1:7" x14ac:dyDescent="0.2">
      <c r="A389" s="1" t="s">
        <v>404</v>
      </c>
      <c r="B389" s="1" t="s">
        <v>405</v>
      </c>
      <c r="C389" s="2">
        <v>130</v>
      </c>
      <c r="D389" s="2">
        <f t="shared" si="18"/>
        <v>91</v>
      </c>
      <c r="E389" s="2">
        <f t="shared" si="19"/>
        <v>-39</v>
      </c>
      <c r="F389" s="3">
        <f t="shared" si="20"/>
        <v>-0.3</v>
      </c>
      <c r="G389" s="2">
        <v>130</v>
      </c>
    </row>
    <row r="390" spans="1:7" x14ac:dyDescent="0.2">
      <c r="A390" s="1" t="s">
        <v>406</v>
      </c>
      <c r="B390" s="1" t="s">
        <v>405</v>
      </c>
      <c r="C390" s="2">
        <v>125</v>
      </c>
      <c r="D390" s="2">
        <f t="shared" si="18"/>
        <v>87.5</v>
      </c>
      <c r="E390" s="2">
        <f t="shared" si="19"/>
        <v>-37.5</v>
      </c>
      <c r="F390" s="3">
        <f t="shared" si="20"/>
        <v>-0.3</v>
      </c>
      <c r="G390" s="2">
        <v>125</v>
      </c>
    </row>
    <row r="391" spans="1:7" x14ac:dyDescent="0.2">
      <c r="A391" s="1" t="s">
        <v>407</v>
      </c>
      <c r="B391" s="1" t="s">
        <v>408</v>
      </c>
      <c r="C391" s="2">
        <v>150</v>
      </c>
      <c r="D391" s="2">
        <f t="shared" si="18"/>
        <v>105</v>
      </c>
      <c r="E391" s="2">
        <f t="shared" si="19"/>
        <v>-45</v>
      </c>
      <c r="F391" s="3">
        <f t="shared" si="20"/>
        <v>-0.3</v>
      </c>
      <c r="G391" s="2">
        <v>150</v>
      </c>
    </row>
    <row r="392" spans="1:7" x14ac:dyDescent="0.2">
      <c r="A392" s="1" t="s">
        <v>409</v>
      </c>
      <c r="B392" s="1" t="s">
        <v>408</v>
      </c>
      <c r="C392" s="2">
        <v>95</v>
      </c>
      <c r="D392" s="2">
        <f t="shared" si="18"/>
        <v>66.5</v>
      </c>
      <c r="E392" s="2">
        <f t="shared" si="19"/>
        <v>-28.5</v>
      </c>
      <c r="F392" s="3">
        <f t="shared" si="20"/>
        <v>-0.3</v>
      </c>
      <c r="G392" s="2">
        <v>95</v>
      </c>
    </row>
    <row r="393" spans="1:7" x14ac:dyDescent="0.2">
      <c r="A393" s="1" t="s">
        <v>410</v>
      </c>
      <c r="B393" s="1" t="s">
        <v>408</v>
      </c>
      <c r="C393" s="2">
        <v>265</v>
      </c>
      <c r="D393" s="2">
        <f t="shared" si="18"/>
        <v>185.5</v>
      </c>
      <c r="E393" s="2">
        <f t="shared" si="19"/>
        <v>-79.5</v>
      </c>
      <c r="F393" s="3">
        <f t="shared" si="20"/>
        <v>-0.3</v>
      </c>
      <c r="G393" s="2">
        <v>265</v>
      </c>
    </row>
    <row r="394" spans="1:7" x14ac:dyDescent="0.2">
      <c r="A394" s="1" t="s">
        <v>411</v>
      </c>
      <c r="B394" s="1" t="s">
        <v>408</v>
      </c>
      <c r="C394" s="2">
        <v>210</v>
      </c>
      <c r="D394" s="2">
        <f t="shared" si="18"/>
        <v>147</v>
      </c>
      <c r="E394" s="2">
        <f t="shared" si="19"/>
        <v>-63</v>
      </c>
      <c r="F394" s="3">
        <f t="shared" si="20"/>
        <v>-0.3</v>
      </c>
      <c r="G394" s="2">
        <v>210</v>
      </c>
    </row>
    <row r="395" spans="1:7" x14ac:dyDescent="0.2">
      <c r="A395" s="1" t="s">
        <v>412</v>
      </c>
      <c r="B395" s="1" t="s">
        <v>408</v>
      </c>
      <c r="C395" s="2">
        <v>65</v>
      </c>
      <c r="D395" s="2">
        <f t="shared" si="18"/>
        <v>45.5</v>
      </c>
      <c r="E395" s="2">
        <f t="shared" si="19"/>
        <v>-19.5</v>
      </c>
      <c r="F395" s="3">
        <f t="shared" si="20"/>
        <v>-0.3</v>
      </c>
      <c r="G395" s="2">
        <v>65</v>
      </c>
    </row>
    <row r="396" spans="1:7" x14ac:dyDescent="0.2">
      <c r="A396" s="1" t="s">
        <v>413</v>
      </c>
      <c r="B396" s="1" t="s">
        <v>408</v>
      </c>
      <c r="C396" s="2">
        <v>250</v>
      </c>
      <c r="D396" s="2">
        <f t="shared" si="18"/>
        <v>175</v>
      </c>
      <c r="E396" s="2">
        <f t="shared" si="19"/>
        <v>-75</v>
      </c>
      <c r="F396" s="3">
        <f t="shared" si="20"/>
        <v>-0.3</v>
      </c>
      <c r="G396" s="2">
        <v>250</v>
      </c>
    </row>
    <row r="397" spans="1:7" x14ac:dyDescent="0.2">
      <c r="A397" s="1" t="s">
        <v>414</v>
      </c>
      <c r="B397" s="1" t="s">
        <v>408</v>
      </c>
      <c r="C397" s="2">
        <v>265</v>
      </c>
      <c r="D397" s="2">
        <f t="shared" si="18"/>
        <v>185.5</v>
      </c>
      <c r="E397" s="2">
        <f t="shared" si="19"/>
        <v>-79.5</v>
      </c>
      <c r="F397" s="3">
        <f t="shared" si="20"/>
        <v>-0.3</v>
      </c>
      <c r="G397" s="2">
        <v>265</v>
      </c>
    </row>
    <row r="398" spans="1:7" x14ac:dyDescent="0.2">
      <c r="A398" s="1" t="s">
        <v>415</v>
      </c>
      <c r="B398" s="1" t="s">
        <v>408</v>
      </c>
      <c r="C398" s="2">
        <v>275</v>
      </c>
      <c r="D398" s="2">
        <f t="shared" si="18"/>
        <v>192.5</v>
      </c>
      <c r="E398" s="2">
        <f t="shared" si="19"/>
        <v>-82.5</v>
      </c>
      <c r="F398" s="3">
        <f t="shared" si="20"/>
        <v>-0.3</v>
      </c>
      <c r="G398" s="2">
        <v>275</v>
      </c>
    </row>
    <row r="399" spans="1:7" x14ac:dyDescent="0.2">
      <c r="A399" s="1" t="s">
        <v>416</v>
      </c>
      <c r="B399" s="1" t="s">
        <v>408</v>
      </c>
      <c r="C399" s="2">
        <v>80</v>
      </c>
      <c r="D399" s="2">
        <f t="shared" si="18"/>
        <v>56</v>
      </c>
      <c r="E399" s="2">
        <f t="shared" si="19"/>
        <v>-24</v>
      </c>
      <c r="F399" s="3">
        <f t="shared" si="20"/>
        <v>-0.3</v>
      </c>
      <c r="G399" s="2">
        <v>80</v>
      </c>
    </row>
    <row r="400" spans="1:7" x14ac:dyDescent="0.2">
      <c r="A400" s="1" t="s">
        <v>417</v>
      </c>
      <c r="B400" s="1" t="s">
        <v>408</v>
      </c>
      <c r="C400" s="2">
        <v>175</v>
      </c>
      <c r="D400" s="2">
        <f t="shared" si="18"/>
        <v>122.49999999999999</v>
      </c>
      <c r="E400" s="2">
        <f t="shared" si="19"/>
        <v>-52.500000000000014</v>
      </c>
      <c r="F400" s="3">
        <f t="shared" si="20"/>
        <v>-0.3000000000000001</v>
      </c>
      <c r="G400" s="2">
        <v>175</v>
      </c>
    </row>
    <row r="401" spans="1:7" x14ac:dyDescent="0.2">
      <c r="A401" s="1" t="s">
        <v>418</v>
      </c>
      <c r="B401" s="1" t="s">
        <v>408</v>
      </c>
      <c r="C401" s="2">
        <v>85</v>
      </c>
      <c r="D401" s="2">
        <f t="shared" si="18"/>
        <v>59.499999999999993</v>
      </c>
      <c r="E401" s="2">
        <f t="shared" si="19"/>
        <v>-25.500000000000007</v>
      </c>
      <c r="F401" s="3">
        <f t="shared" si="20"/>
        <v>-0.3000000000000001</v>
      </c>
      <c r="G401" s="2">
        <v>85</v>
      </c>
    </row>
    <row r="402" spans="1:7" x14ac:dyDescent="0.2">
      <c r="A402" s="1" t="s">
        <v>419</v>
      </c>
      <c r="B402" s="1" t="s">
        <v>420</v>
      </c>
      <c r="C402" s="2">
        <v>350</v>
      </c>
      <c r="D402" s="2">
        <f t="shared" si="18"/>
        <v>244.99999999999997</v>
      </c>
      <c r="E402" s="2">
        <f t="shared" si="19"/>
        <v>-105.00000000000003</v>
      </c>
      <c r="F402" s="3">
        <f t="shared" si="20"/>
        <v>-0.3000000000000001</v>
      </c>
      <c r="G402" s="2">
        <v>350</v>
      </c>
    </row>
    <row r="403" spans="1:7" x14ac:dyDescent="0.2">
      <c r="A403" s="1" t="s">
        <v>421</v>
      </c>
      <c r="B403" s="1" t="s">
        <v>420</v>
      </c>
      <c r="C403" s="2">
        <v>65</v>
      </c>
      <c r="D403" s="2">
        <f t="shared" si="18"/>
        <v>45.5</v>
      </c>
      <c r="E403" s="2">
        <f t="shared" si="19"/>
        <v>-19.5</v>
      </c>
      <c r="F403" s="3">
        <f t="shared" si="20"/>
        <v>-0.3</v>
      </c>
      <c r="G403" s="2">
        <v>65</v>
      </c>
    </row>
    <row r="404" spans="1:7" x14ac:dyDescent="0.2">
      <c r="A404" s="1" t="s">
        <v>422</v>
      </c>
      <c r="B404" s="1" t="s">
        <v>420</v>
      </c>
      <c r="C404" s="2">
        <v>140</v>
      </c>
      <c r="D404" s="2">
        <f t="shared" si="18"/>
        <v>98</v>
      </c>
      <c r="E404" s="2">
        <f t="shared" si="19"/>
        <v>-42</v>
      </c>
      <c r="F404" s="3">
        <f t="shared" si="20"/>
        <v>-0.3</v>
      </c>
      <c r="G404" s="2">
        <v>140</v>
      </c>
    </row>
    <row r="405" spans="1:7" x14ac:dyDescent="0.2">
      <c r="A405" s="1" t="s">
        <v>423</v>
      </c>
      <c r="B405" s="1" t="s">
        <v>420</v>
      </c>
      <c r="C405" s="2">
        <v>135</v>
      </c>
      <c r="D405" s="2">
        <f t="shared" si="18"/>
        <v>94.5</v>
      </c>
      <c r="E405" s="2">
        <f t="shared" si="19"/>
        <v>-40.5</v>
      </c>
      <c r="F405" s="3">
        <f t="shared" si="20"/>
        <v>-0.3</v>
      </c>
      <c r="G405" s="2">
        <v>135</v>
      </c>
    </row>
    <row r="406" spans="1:7" x14ac:dyDescent="0.2">
      <c r="A406" s="1" t="s">
        <v>424</v>
      </c>
      <c r="B406" s="1" t="s">
        <v>420</v>
      </c>
      <c r="C406" s="2">
        <v>320</v>
      </c>
      <c r="D406" s="2">
        <f t="shared" si="18"/>
        <v>224</v>
      </c>
      <c r="E406" s="2">
        <f t="shared" si="19"/>
        <v>-96</v>
      </c>
      <c r="F406" s="3">
        <f t="shared" si="20"/>
        <v>-0.3</v>
      </c>
      <c r="G406" s="2">
        <v>320</v>
      </c>
    </row>
    <row r="407" spans="1:7" x14ac:dyDescent="0.2">
      <c r="A407" s="1" t="s">
        <v>565</v>
      </c>
      <c r="B407" s="1" t="s">
        <v>566</v>
      </c>
      <c r="C407" s="2">
        <v>150</v>
      </c>
      <c r="D407" s="2">
        <f t="shared" si="18"/>
        <v>105</v>
      </c>
      <c r="E407" s="2">
        <f t="shared" si="19"/>
        <v>-45</v>
      </c>
      <c r="F407" s="3">
        <f t="shared" si="20"/>
        <v>-0.3</v>
      </c>
      <c r="G407" s="2">
        <v>150</v>
      </c>
    </row>
    <row r="408" spans="1:7" x14ac:dyDescent="0.2">
      <c r="A408" s="1" t="s">
        <v>425</v>
      </c>
      <c r="B408" s="1" t="s">
        <v>426</v>
      </c>
      <c r="C408" s="2">
        <v>200</v>
      </c>
      <c r="D408" s="2">
        <f t="shared" si="18"/>
        <v>140</v>
      </c>
      <c r="E408" s="2">
        <f t="shared" si="19"/>
        <v>-60</v>
      </c>
      <c r="F408" s="3">
        <f t="shared" si="20"/>
        <v>-0.3</v>
      </c>
      <c r="G408" s="2">
        <v>200</v>
      </c>
    </row>
    <row r="409" spans="1:7" x14ac:dyDescent="0.2">
      <c r="A409" s="1" t="s">
        <v>427</v>
      </c>
      <c r="B409" s="1" t="s">
        <v>426</v>
      </c>
      <c r="C409" s="2">
        <v>200</v>
      </c>
      <c r="D409" s="2">
        <f t="shared" si="18"/>
        <v>140</v>
      </c>
      <c r="E409" s="2">
        <f t="shared" si="19"/>
        <v>-60</v>
      </c>
      <c r="F409" s="3">
        <f t="shared" si="20"/>
        <v>-0.3</v>
      </c>
      <c r="G409" s="2">
        <v>200</v>
      </c>
    </row>
    <row r="410" spans="1:7" x14ac:dyDescent="0.2">
      <c r="A410" s="1" t="s">
        <v>428</v>
      </c>
      <c r="B410" s="1" t="s">
        <v>426</v>
      </c>
      <c r="C410" s="2">
        <v>200</v>
      </c>
      <c r="D410" s="2">
        <f t="shared" si="18"/>
        <v>140</v>
      </c>
      <c r="E410" s="2">
        <f t="shared" si="19"/>
        <v>-60</v>
      </c>
      <c r="F410" s="3">
        <f t="shared" si="20"/>
        <v>-0.3</v>
      </c>
      <c r="G410" s="2">
        <v>200</v>
      </c>
    </row>
    <row r="411" spans="1:7" x14ac:dyDescent="0.2">
      <c r="A411" s="1" t="s">
        <v>429</v>
      </c>
      <c r="B411" s="1" t="s">
        <v>430</v>
      </c>
      <c r="C411" s="2">
        <v>15</v>
      </c>
      <c r="D411" s="2">
        <f t="shared" si="18"/>
        <v>10.5</v>
      </c>
      <c r="E411" s="2">
        <f t="shared" si="19"/>
        <v>-4.5</v>
      </c>
      <c r="F411" s="3">
        <f t="shared" si="20"/>
        <v>-0.3</v>
      </c>
      <c r="G411" s="2">
        <v>15</v>
      </c>
    </row>
    <row r="412" spans="1:7" x14ac:dyDescent="0.2">
      <c r="A412" s="1" t="s">
        <v>431</v>
      </c>
      <c r="B412" s="1" t="s">
        <v>432</v>
      </c>
      <c r="C412" s="2">
        <v>2</v>
      </c>
      <c r="D412" s="2">
        <f t="shared" si="18"/>
        <v>1.4</v>
      </c>
      <c r="E412" s="2">
        <f t="shared" si="19"/>
        <v>-0.60000000000000009</v>
      </c>
      <c r="F412" s="3">
        <f t="shared" si="20"/>
        <v>-0.30000000000000004</v>
      </c>
      <c r="G412" s="2">
        <v>2</v>
      </c>
    </row>
    <row r="413" spans="1:7" x14ac:dyDescent="0.2">
      <c r="A413" s="1" t="s">
        <v>433</v>
      </c>
      <c r="B413" s="1" t="s">
        <v>432</v>
      </c>
      <c r="C413" s="2">
        <v>3</v>
      </c>
      <c r="D413" s="2">
        <f t="shared" si="18"/>
        <v>2.0999999999999996</v>
      </c>
      <c r="E413" s="2">
        <f t="shared" si="19"/>
        <v>-0.90000000000000036</v>
      </c>
      <c r="F413" s="3">
        <f t="shared" si="20"/>
        <v>-0.3000000000000001</v>
      </c>
      <c r="G413" s="2">
        <v>3</v>
      </c>
    </row>
    <row r="414" spans="1:7" x14ac:dyDescent="0.2">
      <c r="A414" s="1" t="s">
        <v>434</v>
      </c>
      <c r="B414" s="1" t="s">
        <v>432</v>
      </c>
      <c r="C414" s="2">
        <v>1</v>
      </c>
      <c r="D414" s="2">
        <f t="shared" si="18"/>
        <v>0.7</v>
      </c>
      <c r="E414" s="2">
        <f t="shared" si="19"/>
        <v>-0.30000000000000004</v>
      </c>
      <c r="F414" s="3">
        <f t="shared" si="20"/>
        <v>-0.30000000000000004</v>
      </c>
      <c r="G414" s="2">
        <v>1</v>
      </c>
    </row>
    <row r="415" spans="1:7" x14ac:dyDescent="0.2">
      <c r="A415" s="1" t="s">
        <v>435</v>
      </c>
      <c r="B415" s="1" t="s">
        <v>436</v>
      </c>
      <c r="C415" s="2">
        <v>95</v>
      </c>
      <c r="D415" s="4">
        <f t="shared" si="18"/>
        <v>66.5</v>
      </c>
      <c r="E415" s="2">
        <f t="shared" si="19"/>
        <v>-28.5</v>
      </c>
      <c r="F415" s="3">
        <f t="shared" si="20"/>
        <v>-0.3</v>
      </c>
      <c r="G415" s="2">
        <v>95</v>
      </c>
    </row>
    <row r="416" spans="1:7" x14ac:dyDescent="0.2">
      <c r="A416" s="1" t="s">
        <v>437</v>
      </c>
      <c r="B416" s="1" t="s">
        <v>436</v>
      </c>
      <c r="C416" s="2">
        <v>2</v>
      </c>
      <c r="D416" s="4">
        <f t="shared" si="18"/>
        <v>1.4</v>
      </c>
      <c r="E416" s="2">
        <f t="shared" si="19"/>
        <v>-0.60000000000000009</v>
      </c>
      <c r="F416" s="3">
        <f t="shared" si="20"/>
        <v>-0.30000000000000004</v>
      </c>
      <c r="G416" s="2">
        <v>2</v>
      </c>
    </row>
    <row r="417" spans="1:7" x14ac:dyDescent="0.2">
      <c r="A417" s="1" t="s">
        <v>438</v>
      </c>
      <c r="B417" s="1" t="s">
        <v>439</v>
      </c>
      <c r="C417" s="2">
        <v>38</v>
      </c>
      <c r="D417" s="4">
        <f t="shared" si="18"/>
        <v>26.599999999999998</v>
      </c>
      <c r="E417" s="2">
        <f t="shared" si="19"/>
        <v>-11.400000000000002</v>
      </c>
      <c r="F417" s="3">
        <f t="shared" si="20"/>
        <v>-0.30000000000000004</v>
      </c>
      <c r="G417" s="2">
        <v>37</v>
      </c>
    </row>
    <row r="418" spans="1:7" x14ac:dyDescent="0.2">
      <c r="A418" s="1" t="s">
        <v>440</v>
      </c>
      <c r="B418" s="1" t="s">
        <v>439</v>
      </c>
      <c r="C418" s="2">
        <v>13</v>
      </c>
      <c r="D418" s="4">
        <f t="shared" si="18"/>
        <v>9.1</v>
      </c>
      <c r="E418" s="2">
        <f t="shared" si="19"/>
        <v>-3.9000000000000004</v>
      </c>
      <c r="F418" s="3">
        <f t="shared" si="20"/>
        <v>-0.30000000000000004</v>
      </c>
      <c r="G418" s="2">
        <v>13</v>
      </c>
    </row>
    <row r="419" spans="1:7" x14ac:dyDescent="0.2">
      <c r="A419" s="1" t="s">
        <v>441</v>
      </c>
      <c r="B419" s="1" t="s">
        <v>439</v>
      </c>
      <c r="C419" s="2">
        <v>29</v>
      </c>
      <c r="D419" s="4">
        <f t="shared" si="18"/>
        <v>20.299999999999997</v>
      </c>
      <c r="E419" s="2">
        <f t="shared" si="19"/>
        <v>-8.7000000000000028</v>
      </c>
      <c r="F419" s="3">
        <f t="shared" si="20"/>
        <v>-0.3000000000000001</v>
      </c>
      <c r="G419" s="2">
        <v>28</v>
      </c>
    </row>
    <row r="420" spans="1:7" x14ac:dyDescent="0.2">
      <c r="A420" s="1" t="s">
        <v>442</v>
      </c>
      <c r="B420" s="1" t="s">
        <v>439</v>
      </c>
      <c r="C420" s="2">
        <v>47</v>
      </c>
      <c r="D420" s="4">
        <f t="shared" si="18"/>
        <v>32.9</v>
      </c>
      <c r="E420" s="2">
        <f t="shared" si="19"/>
        <v>-14.100000000000001</v>
      </c>
      <c r="F420" s="3">
        <f t="shared" si="20"/>
        <v>-0.30000000000000004</v>
      </c>
      <c r="G420" s="2">
        <v>45</v>
      </c>
    </row>
    <row r="421" spans="1:7" x14ac:dyDescent="0.2">
      <c r="A421" s="1" t="s">
        <v>443</v>
      </c>
      <c r="B421" s="1" t="s">
        <v>439</v>
      </c>
      <c r="C421" s="2">
        <v>45</v>
      </c>
      <c r="D421" s="4">
        <f t="shared" si="18"/>
        <v>31.499999999999996</v>
      </c>
      <c r="E421" s="2">
        <f t="shared" si="19"/>
        <v>-13.500000000000004</v>
      </c>
      <c r="F421" s="3">
        <f t="shared" si="20"/>
        <v>-0.3000000000000001</v>
      </c>
      <c r="G421" s="2">
        <v>43</v>
      </c>
    </row>
    <row r="422" spans="1:7" x14ac:dyDescent="0.2">
      <c r="A422" s="1" t="s">
        <v>444</v>
      </c>
      <c r="B422" s="1" t="s">
        <v>439</v>
      </c>
      <c r="C422" s="2">
        <v>25</v>
      </c>
      <c r="D422" s="4">
        <f t="shared" si="18"/>
        <v>17.5</v>
      </c>
      <c r="E422" s="2">
        <f t="shared" si="19"/>
        <v>-7.5</v>
      </c>
      <c r="F422" s="3">
        <f t="shared" si="20"/>
        <v>-0.3</v>
      </c>
      <c r="G422" s="2">
        <v>24</v>
      </c>
    </row>
    <row r="423" spans="1:7" x14ac:dyDescent="0.2">
      <c r="A423" s="1" t="s">
        <v>445</v>
      </c>
      <c r="B423" s="1" t="s">
        <v>439</v>
      </c>
      <c r="C423" s="2">
        <v>55</v>
      </c>
      <c r="D423" s="4">
        <f t="shared" si="18"/>
        <v>38.5</v>
      </c>
      <c r="E423" s="2">
        <f t="shared" si="19"/>
        <v>-16.5</v>
      </c>
      <c r="F423" s="3">
        <f t="shared" si="20"/>
        <v>-0.3</v>
      </c>
      <c r="G423" s="2">
        <v>53</v>
      </c>
    </row>
    <row r="424" spans="1:7" x14ac:dyDescent="0.2">
      <c r="A424" s="1" t="s">
        <v>446</v>
      </c>
      <c r="B424" s="1" t="s">
        <v>439</v>
      </c>
      <c r="C424" s="2">
        <v>48</v>
      </c>
      <c r="D424" s="4">
        <f t="shared" si="18"/>
        <v>33.599999999999994</v>
      </c>
      <c r="E424" s="2">
        <f t="shared" si="19"/>
        <v>-14.400000000000006</v>
      </c>
      <c r="F424" s="3">
        <f t="shared" si="20"/>
        <v>-0.3000000000000001</v>
      </c>
      <c r="G424" s="2">
        <v>46</v>
      </c>
    </row>
    <row r="425" spans="1:7" x14ac:dyDescent="0.2">
      <c r="A425" s="1" t="s">
        <v>447</v>
      </c>
      <c r="B425" s="1" t="s">
        <v>439</v>
      </c>
      <c r="C425" s="2">
        <v>52</v>
      </c>
      <c r="D425" s="4">
        <f t="shared" si="18"/>
        <v>36.4</v>
      </c>
      <c r="E425" s="2">
        <f t="shared" si="19"/>
        <v>-15.600000000000001</v>
      </c>
      <c r="F425" s="3">
        <f t="shared" si="20"/>
        <v>-0.30000000000000004</v>
      </c>
      <c r="G425" s="2">
        <v>50</v>
      </c>
    </row>
    <row r="426" spans="1:7" x14ac:dyDescent="0.2">
      <c r="A426" s="1" t="s">
        <v>448</v>
      </c>
      <c r="B426" s="1" t="s">
        <v>439</v>
      </c>
      <c r="C426" s="2">
        <v>42</v>
      </c>
      <c r="D426" s="4">
        <f t="shared" si="18"/>
        <v>29.4</v>
      </c>
      <c r="E426" s="2">
        <f t="shared" si="19"/>
        <v>-12.600000000000001</v>
      </c>
      <c r="F426" s="3">
        <f t="shared" si="20"/>
        <v>-0.30000000000000004</v>
      </c>
      <c r="G426" s="2">
        <v>41</v>
      </c>
    </row>
    <row r="427" spans="1:7" x14ac:dyDescent="0.2">
      <c r="A427" s="1" t="s">
        <v>449</v>
      </c>
      <c r="B427" s="1" t="s">
        <v>450</v>
      </c>
      <c r="C427" s="2">
        <v>6</v>
      </c>
      <c r="D427" s="4">
        <f t="shared" si="18"/>
        <v>4.1999999999999993</v>
      </c>
      <c r="E427" s="2">
        <f t="shared" si="19"/>
        <v>-1.8000000000000007</v>
      </c>
      <c r="F427" s="3">
        <f t="shared" si="20"/>
        <v>-0.3000000000000001</v>
      </c>
      <c r="G427" s="2">
        <v>6</v>
      </c>
    </row>
    <row r="428" spans="1:7" x14ac:dyDescent="0.2">
      <c r="A428" s="1" t="s">
        <v>451</v>
      </c>
      <c r="B428" s="1" t="s">
        <v>450</v>
      </c>
      <c r="C428" s="2">
        <v>8</v>
      </c>
      <c r="D428" s="4">
        <f t="shared" si="18"/>
        <v>5.6</v>
      </c>
      <c r="E428" s="2">
        <f t="shared" si="19"/>
        <v>-2.4000000000000004</v>
      </c>
      <c r="F428" s="3">
        <f t="shared" si="20"/>
        <v>-0.30000000000000004</v>
      </c>
      <c r="G428" s="2">
        <v>8</v>
      </c>
    </row>
    <row r="429" spans="1:7" x14ac:dyDescent="0.2">
      <c r="A429" s="1" t="s">
        <v>452</v>
      </c>
      <c r="B429" s="1" t="s">
        <v>450</v>
      </c>
      <c r="C429" s="2">
        <v>9</v>
      </c>
      <c r="D429" s="4">
        <f t="shared" si="18"/>
        <v>6.3</v>
      </c>
      <c r="E429" s="2">
        <f t="shared" si="19"/>
        <v>-2.7</v>
      </c>
      <c r="F429" s="3">
        <f t="shared" si="20"/>
        <v>-0.30000000000000004</v>
      </c>
      <c r="G429" s="2">
        <v>9</v>
      </c>
    </row>
    <row r="430" spans="1:7" x14ac:dyDescent="0.2">
      <c r="A430" s="1" t="s">
        <v>453</v>
      </c>
      <c r="B430" s="1" t="s">
        <v>450</v>
      </c>
      <c r="C430" s="2">
        <v>5</v>
      </c>
      <c r="D430" s="4">
        <f t="shared" si="18"/>
        <v>3.5</v>
      </c>
      <c r="E430" s="2">
        <f t="shared" si="19"/>
        <v>-1.5</v>
      </c>
      <c r="F430" s="3">
        <f t="shared" si="20"/>
        <v>-0.3</v>
      </c>
      <c r="G430" s="2">
        <v>5</v>
      </c>
    </row>
    <row r="431" spans="1:7" x14ac:dyDescent="0.2">
      <c r="A431" s="1" t="s">
        <v>454</v>
      </c>
      <c r="B431" s="1" t="s">
        <v>455</v>
      </c>
      <c r="C431" s="2">
        <v>30</v>
      </c>
      <c r="D431" s="4">
        <f t="shared" si="18"/>
        <v>21</v>
      </c>
      <c r="E431" s="2">
        <f t="shared" si="19"/>
        <v>-9</v>
      </c>
      <c r="F431" s="3">
        <f t="shared" si="20"/>
        <v>-0.3</v>
      </c>
      <c r="G431" s="2">
        <v>30</v>
      </c>
    </row>
    <row r="432" spans="1:7" x14ac:dyDescent="0.2">
      <c r="A432" s="1" t="s">
        <v>456</v>
      </c>
      <c r="B432" s="1" t="s">
        <v>457</v>
      </c>
      <c r="C432" s="2">
        <v>24000</v>
      </c>
      <c r="D432" s="2">
        <f t="shared" si="18"/>
        <v>16800</v>
      </c>
      <c r="E432" s="2">
        <f t="shared" si="19"/>
        <v>-7200</v>
      </c>
      <c r="F432" s="3">
        <f t="shared" si="20"/>
        <v>-0.3</v>
      </c>
      <c r="G432" s="2">
        <v>24000</v>
      </c>
    </row>
    <row r="433" spans="1:7" x14ac:dyDescent="0.2">
      <c r="A433" s="1" t="s">
        <v>458</v>
      </c>
      <c r="B433" s="1" t="s">
        <v>457</v>
      </c>
      <c r="C433" s="2">
        <v>21000</v>
      </c>
      <c r="D433" s="2">
        <f t="shared" si="18"/>
        <v>14699.999999999998</v>
      </c>
      <c r="E433" s="2">
        <f t="shared" si="19"/>
        <v>-6300.0000000000018</v>
      </c>
      <c r="F433" s="3">
        <f t="shared" si="20"/>
        <v>-0.3000000000000001</v>
      </c>
      <c r="G433" s="2">
        <v>21000</v>
      </c>
    </row>
    <row r="434" spans="1:7" x14ac:dyDescent="0.2">
      <c r="A434" s="1" t="s">
        <v>459</v>
      </c>
      <c r="B434" s="1" t="s">
        <v>457</v>
      </c>
      <c r="C434" s="2">
        <v>8000</v>
      </c>
      <c r="D434" s="2">
        <f t="shared" si="18"/>
        <v>5600</v>
      </c>
      <c r="E434" s="2">
        <f t="shared" si="19"/>
        <v>-2400</v>
      </c>
      <c r="F434" s="3">
        <f t="shared" si="20"/>
        <v>-0.3</v>
      </c>
      <c r="G434" s="2">
        <v>8000</v>
      </c>
    </row>
    <row r="435" spans="1:7" x14ac:dyDescent="0.2">
      <c r="A435" s="1" t="s">
        <v>460</v>
      </c>
      <c r="B435" s="1" t="s">
        <v>457</v>
      </c>
      <c r="C435" s="2">
        <v>19000</v>
      </c>
      <c r="D435" s="2">
        <f t="shared" si="18"/>
        <v>13300</v>
      </c>
      <c r="E435" s="2">
        <f t="shared" si="19"/>
        <v>-5700</v>
      </c>
      <c r="F435" s="3">
        <f t="shared" si="20"/>
        <v>-0.3</v>
      </c>
      <c r="G435" s="2">
        <v>19000</v>
      </c>
    </row>
    <row r="436" spans="1:7" x14ac:dyDescent="0.2">
      <c r="A436" s="1" t="s">
        <v>461</v>
      </c>
      <c r="B436" s="1" t="s">
        <v>457</v>
      </c>
      <c r="C436" s="2">
        <v>16000</v>
      </c>
      <c r="D436" s="2">
        <f t="shared" si="18"/>
        <v>11200</v>
      </c>
      <c r="E436" s="2">
        <f t="shared" si="19"/>
        <v>-4800</v>
      </c>
      <c r="F436" s="3">
        <f t="shared" si="20"/>
        <v>-0.3</v>
      </c>
      <c r="G436" s="2">
        <v>16000</v>
      </c>
    </row>
    <row r="437" spans="1:7" x14ac:dyDescent="0.2">
      <c r="A437" s="1" t="s">
        <v>462</v>
      </c>
      <c r="B437" s="1" t="s">
        <v>457</v>
      </c>
      <c r="C437" s="2">
        <v>14000</v>
      </c>
      <c r="D437" s="2">
        <f t="shared" si="18"/>
        <v>9800</v>
      </c>
      <c r="E437" s="2">
        <f t="shared" si="19"/>
        <v>-4200</v>
      </c>
      <c r="F437" s="3">
        <f t="shared" si="20"/>
        <v>-0.3</v>
      </c>
      <c r="G437" s="2">
        <v>14000</v>
      </c>
    </row>
    <row r="438" spans="1:7" x14ac:dyDescent="0.2">
      <c r="A438" s="1" t="s">
        <v>463</v>
      </c>
      <c r="B438" s="1" t="s">
        <v>464</v>
      </c>
      <c r="C438" s="2">
        <v>28800</v>
      </c>
      <c r="D438" s="2">
        <f t="shared" si="18"/>
        <v>20160</v>
      </c>
      <c r="E438" s="2">
        <f t="shared" si="19"/>
        <v>-8640</v>
      </c>
      <c r="F438" s="3">
        <f t="shared" si="20"/>
        <v>-0.3</v>
      </c>
      <c r="G438" s="2">
        <v>28800</v>
      </c>
    </row>
    <row r="439" spans="1:7" x14ac:dyDescent="0.2">
      <c r="A439" s="1" t="s">
        <v>465</v>
      </c>
      <c r="B439" s="1" t="s">
        <v>464</v>
      </c>
      <c r="C439" s="2">
        <v>25200</v>
      </c>
      <c r="D439" s="2">
        <f t="shared" si="18"/>
        <v>17640</v>
      </c>
      <c r="E439" s="2">
        <f t="shared" si="19"/>
        <v>-7560</v>
      </c>
      <c r="F439" s="3">
        <f t="shared" si="20"/>
        <v>-0.3</v>
      </c>
      <c r="G439" s="2">
        <v>25200</v>
      </c>
    </row>
    <row r="440" spans="1:7" x14ac:dyDescent="0.2">
      <c r="A440" s="1" t="s">
        <v>466</v>
      </c>
      <c r="B440" s="1" t="s">
        <v>464</v>
      </c>
      <c r="C440" s="2">
        <v>9600</v>
      </c>
      <c r="D440" s="2">
        <f t="shared" si="18"/>
        <v>6720</v>
      </c>
      <c r="E440" s="2">
        <f t="shared" si="19"/>
        <v>-2880</v>
      </c>
      <c r="F440" s="3">
        <f t="shared" si="20"/>
        <v>-0.3</v>
      </c>
      <c r="G440" s="2">
        <v>9600</v>
      </c>
    </row>
    <row r="441" spans="1:7" x14ac:dyDescent="0.2">
      <c r="A441" s="1" t="s">
        <v>467</v>
      </c>
      <c r="B441" s="1" t="s">
        <v>464</v>
      </c>
      <c r="C441" s="2">
        <v>22800</v>
      </c>
      <c r="D441" s="2">
        <f t="shared" si="18"/>
        <v>15959.999999999998</v>
      </c>
      <c r="E441" s="2">
        <f t="shared" si="19"/>
        <v>-6840.0000000000018</v>
      </c>
      <c r="F441" s="3">
        <f t="shared" si="20"/>
        <v>-0.3000000000000001</v>
      </c>
      <c r="G441" s="2">
        <v>22800</v>
      </c>
    </row>
    <row r="442" spans="1:7" x14ac:dyDescent="0.2">
      <c r="A442" s="1" t="s">
        <v>468</v>
      </c>
      <c r="B442" s="1" t="s">
        <v>464</v>
      </c>
      <c r="C442" s="2">
        <v>19200</v>
      </c>
      <c r="D442" s="2">
        <f t="shared" si="18"/>
        <v>13440</v>
      </c>
      <c r="E442" s="2">
        <f t="shared" si="19"/>
        <v>-5760</v>
      </c>
      <c r="F442" s="3">
        <f t="shared" si="20"/>
        <v>-0.3</v>
      </c>
      <c r="G442" s="2">
        <v>19200</v>
      </c>
    </row>
    <row r="443" spans="1:7" x14ac:dyDescent="0.2">
      <c r="A443" s="1" t="s">
        <v>469</v>
      </c>
      <c r="B443" s="1" t="s">
        <v>464</v>
      </c>
      <c r="C443" s="2">
        <v>16800</v>
      </c>
      <c r="D443" s="2">
        <f t="shared" si="18"/>
        <v>11760</v>
      </c>
      <c r="E443" s="2">
        <f t="shared" si="19"/>
        <v>-5040</v>
      </c>
      <c r="F443" s="3">
        <f t="shared" si="20"/>
        <v>-0.3</v>
      </c>
      <c r="G443" s="2">
        <v>16800</v>
      </c>
    </row>
    <row r="444" spans="1:7" x14ac:dyDescent="0.2">
      <c r="A444" s="1" t="s">
        <v>470</v>
      </c>
      <c r="B444" s="1" t="s">
        <v>471</v>
      </c>
      <c r="C444" s="2">
        <v>34560</v>
      </c>
      <c r="D444" s="2">
        <f t="shared" si="18"/>
        <v>24192</v>
      </c>
      <c r="E444" s="2">
        <f t="shared" si="19"/>
        <v>-10368</v>
      </c>
      <c r="F444" s="3">
        <f t="shared" si="20"/>
        <v>-0.3</v>
      </c>
      <c r="G444" s="2">
        <v>34560</v>
      </c>
    </row>
    <row r="445" spans="1:7" x14ac:dyDescent="0.2">
      <c r="A445" s="1" t="s">
        <v>472</v>
      </c>
      <c r="B445" s="1" t="s">
        <v>471</v>
      </c>
      <c r="C445" s="2">
        <v>11520</v>
      </c>
      <c r="D445" s="2">
        <f t="shared" si="18"/>
        <v>8063.9999999999991</v>
      </c>
      <c r="E445" s="2">
        <f t="shared" si="19"/>
        <v>-3456.0000000000009</v>
      </c>
      <c r="F445" s="3">
        <f t="shared" si="20"/>
        <v>-0.3000000000000001</v>
      </c>
      <c r="G445" s="2">
        <v>11520</v>
      </c>
    </row>
    <row r="446" spans="1:7" x14ac:dyDescent="0.2">
      <c r="A446" s="1" t="s">
        <v>473</v>
      </c>
      <c r="B446" s="1" t="s">
        <v>471</v>
      </c>
      <c r="C446" s="2">
        <v>27360</v>
      </c>
      <c r="D446" s="2">
        <f t="shared" si="18"/>
        <v>19152</v>
      </c>
      <c r="E446" s="2">
        <f t="shared" si="19"/>
        <v>-8208</v>
      </c>
      <c r="F446" s="3">
        <f t="shared" si="20"/>
        <v>-0.3</v>
      </c>
      <c r="G446" s="2">
        <v>27360</v>
      </c>
    </row>
    <row r="447" spans="1:7" x14ac:dyDescent="0.2">
      <c r="A447" s="1" t="s">
        <v>474</v>
      </c>
      <c r="B447" s="1" t="s">
        <v>471</v>
      </c>
      <c r="C447" s="2">
        <v>23040</v>
      </c>
      <c r="D447" s="2">
        <f t="shared" si="18"/>
        <v>16127.999999999998</v>
      </c>
      <c r="E447" s="2">
        <f t="shared" si="19"/>
        <v>-6912.0000000000018</v>
      </c>
      <c r="F447" s="3">
        <f t="shared" si="20"/>
        <v>-0.3000000000000001</v>
      </c>
      <c r="G447" s="2">
        <v>23040</v>
      </c>
    </row>
    <row r="448" spans="1:7" x14ac:dyDescent="0.2">
      <c r="A448" s="1" t="s">
        <v>475</v>
      </c>
      <c r="B448" s="1" t="s">
        <v>471</v>
      </c>
      <c r="C448" s="2">
        <v>20160</v>
      </c>
      <c r="D448" s="2">
        <f t="shared" si="18"/>
        <v>14112</v>
      </c>
      <c r="E448" s="2">
        <f t="shared" si="19"/>
        <v>-6048</v>
      </c>
      <c r="F448" s="3">
        <f t="shared" si="20"/>
        <v>-0.3</v>
      </c>
      <c r="G448" s="2">
        <v>20160</v>
      </c>
    </row>
    <row r="449" spans="1:7" x14ac:dyDescent="0.2">
      <c r="A449" s="1" t="s">
        <v>476</v>
      </c>
      <c r="B449" s="1" t="s">
        <v>477</v>
      </c>
      <c r="C449" s="2">
        <v>1345000</v>
      </c>
      <c r="D449" s="2">
        <f t="shared" si="18"/>
        <v>941499.99999999988</v>
      </c>
      <c r="E449" s="2">
        <f t="shared" si="19"/>
        <v>-403500.00000000012</v>
      </c>
      <c r="F449" s="3">
        <f t="shared" si="20"/>
        <v>-0.3000000000000001</v>
      </c>
      <c r="G449" s="2">
        <v>1345000</v>
      </c>
    </row>
    <row r="450" spans="1:7" x14ac:dyDescent="0.2">
      <c r="A450" s="1" t="s">
        <v>478</v>
      </c>
      <c r="B450" s="1" t="s">
        <v>477</v>
      </c>
      <c r="C450" s="2">
        <v>345000</v>
      </c>
      <c r="D450" s="2">
        <f t="shared" si="18"/>
        <v>241499.99999999997</v>
      </c>
      <c r="E450" s="2">
        <f t="shared" si="19"/>
        <v>-103500.00000000003</v>
      </c>
      <c r="F450" s="3">
        <f t="shared" si="20"/>
        <v>-0.3000000000000001</v>
      </c>
      <c r="G450" s="2">
        <v>345000</v>
      </c>
    </row>
    <row r="451" spans="1:7" x14ac:dyDescent="0.2">
      <c r="A451" s="1" t="s">
        <v>479</v>
      </c>
      <c r="B451" s="1" t="s">
        <v>477</v>
      </c>
      <c r="C451" s="2">
        <v>1757000</v>
      </c>
      <c r="D451" s="2">
        <f t="shared" si="18"/>
        <v>1229900</v>
      </c>
      <c r="E451" s="2">
        <f t="shared" ref="E451:E514" si="21">IF(AND(C451&lt;&gt;"",D451&lt;&gt;""),D451-C451,"")</f>
        <v>-527100</v>
      </c>
      <c r="F451" s="3">
        <f t="shared" ref="F451:F514" si="22">IF(AND(C451&lt;&gt;"",D451&lt;&gt;"",C451&gt;0),(D451-C451)/C451,"")</f>
        <v>-0.3</v>
      </c>
      <c r="G451" s="2">
        <v>1757000</v>
      </c>
    </row>
    <row r="452" spans="1:7" x14ac:dyDescent="0.2">
      <c r="A452" s="1" t="s">
        <v>480</v>
      </c>
      <c r="B452" s="1" t="s">
        <v>477</v>
      </c>
      <c r="C452" s="2">
        <v>884000</v>
      </c>
      <c r="D452" s="2">
        <f t="shared" ref="D452:D515" si="23">C452*0.7</f>
        <v>618800</v>
      </c>
      <c r="E452" s="2">
        <f t="shared" si="21"/>
        <v>-265200</v>
      </c>
      <c r="F452" s="3">
        <f t="shared" si="22"/>
        <v>-0.3</v>
      </c>
      <c r="G452" s="2">
        <v>884000</v>
      </c>
    </row>
    <row r="453" spans="1:7" x14ac:dyDescent="0.2">
      <c r="A453" s="1" t="s">
        <v>481</v>
      </c>
      <c r="B453" s="1" t="s">
        <v>477</v>
      </c>
      <c r="C453" s="2">
        <v>884000</v>
      </c>
      <c r="D453" s="2">
        <f t="shared" si="23"/>
        <v>618800</v>
      </c>
      <c r="E453" s="2">
        <f t="shared" si="21"/>
        <v>-265200</v>
      </c>
      <c r="F453" s="3">
        <f t="shared" si="22"/>
        <v>-0.3</v>
      </c>
      <c r="G453" s="2">
        <v>884000</v>
      </c>
    </row>
    <row r="454" spans="1:7" x14ac:dyDescent="0.2">
      <c r="A454" s="1" t="s">
        <v>482</v>
      </c>
      <c r="B454" s="1" t="s">
        <v>483</v>
      </c>
      <c r="C454" s="2">
        <v>412000</v>
      </c>
      <c r="D454" s="2">
        <f t="shared" si="23"/>
        <v>288400</v>
      </c>
      <c r="E454" s="2">
        <f t="shared" si="21"/>
        <v>-123600</v>
      </c>
      <c r="F454" s="3">
        <f t="shared" si="22"/>
        <v>-0.3</v>
      </c>
      <c r="G454" s="2">
        <v>412000</v>
      </c>
    </row>
    <row r="455" spans="1:7" x14ac:dyDescent="0.2">
      <c r="A455" s="1" t="s">
        <v>484</v>
      </c>
      <c r="B455" s="1" t="s">
        <v>483</v>
      </c>
      <c r="C455" s="2">
        <v>79000</v>
      </c>
      <c r="D455" s="2">
        <f t="shared" si="23"/>
        <v>55300</v>
      </c>
      <c r="E455" s="2">
        <f t="shared" si="21"/>
        <v>-23700</v>
      </c>
      <c r="F455" s="3">
        <f t="shared" si="22"/>
        <v>-0.3</v>
      </c>
      <c r="G455" s="2">
        <v>79000</v>
      </c>
    </row>
    <row r="456" spans="1:7" x14ac:dyDescent="0.2">
      <c r="A456" s="1" t="s">
        <v>485</v>
      </c>
      <c r="B456" s="1" t="s">
        <v>483</v>
      </c>
      <c r="C456" s="2">
        <v>68000</v>
      </c>
      <c r="D456" s="2">
        <f t="shared" si="23"/>
        <v>47600</v>
      </c>
      <c r="E456" s="2">
        <f t="shared" si="21"/>
        <v>-20400</v>
      </c>
      <c r="F456" s="3">
        <f t="shared" si="22"/>
        <v>-0.3</v>
      </c>
      <c r="G456" s="2">
        <v>68000</v>
      </c>
    </row>
    <row r="457" spans="1:7" x14ac:dyDescent="0.2">
      <c r="A457" s="1" t="s">
        <v>486</v>
      </c>
      <c r="B457" s="1" t="s">
        <v>483</v>
      </c>
      <c r="C457" s="2">
        <v>104000</v>
      </c>
      <c r="D457" s="2">
        <f t="shared" si="23"/>
        <v>72800</v>
      </c>
      <c r="E457" s="2">
        <f t="shared" si="21"/>
        <v>-31200</v>
      </c>
      <c r="F457" s="3">
        <f t="shared" si="22"/>
        <v>-0.3</v>
      </c>
      <c r="G457" s="2">
        <v>104000</v>
      </c>
    </row>
    <row r="458" spans="1:7" x14ac:dyDescent="0.2">
      <c r="A458" s="1" t="s">
        <v>487</v>
      </c>
      <c r="B458" s="1" t="s">
        <v>483</v>
      </c>
      <c r="C458" s="2">
        <v>132000</v>
      </c>
      <c r="D458" s="2">
        <f t="shared" si="23"/>
        <v>92400</v>
      </c>
      <c r="E458" s="2">
        <f t="shared" si="21"/>
        <v>-39600</v>
      </c>
      <c r="F458" s="3">
        <f t="shared" si="22"/>
        <v>-0.3</v>
      </c>
      <c r="G458" s="2">
        <v>132000</v>
      </c>
    </row>
    <row r="459" spans="1:7" x14ac:dyDescent="0.2">
      <c r="A459" s="1" t="s">
        <v>488</v>
      </c>
      <c r="B459" s="1" t="s">
        <v>483</v>
      </c>
      <c r="C459" s="2">
        <v>132000</v>
      </c>
      <c r="D459" s="2">
        <f t="shared" si="23"/>
        <v>92400</v>
      </c>
      <c r="E459" s="2">
        <f t="shared" si="21"/>
        <v>-39600</v>
      </c>
      <c r="F459" s="3">
        <f t="shared" si="22"/>
        <v>-0.3</v>
      </c>
      <c r="G459" s="2">
        <v>132000</v>
      </c>
    </row>
    <row r="460" spans="1:7" x14ac:dyDescent="0.2">
      <c r="A460" s="1" t="s">
        <v>489</v>
      </c>
      <c r="B460" s="1" t="s">
        <v>483</v>
      </c>
      <c r="C460" s="2">
        <v>75000</v>
      </c>
      <c r="D460" s="2">
        <f t="shared" si="23"/>
        <v>52500</v>
      </c>
      <c r="E460" s="2">
        <f t="shared" si="21"/>
        <v>-22500</v>
      </c>
      <c r="F460" s="3">
        <f t="shared" si="22"/>
        <v>-0.3</v>
      </c>
      <c r="G460" s="2">
        <v>75000</v>
      </c>
    </row>
    <row r="461" spans="1:7" x14ac:dyDescent="0.2">
      <c r="A461" s="1" t="s">
        <v>490</v>
      </c>
      <c r="B461" s="1" t="s">
        <v>483</v>
      </c>
      <c r="C461" s="2">
        <v>15000</v>
      </c>
      <c r="D461" s="2">
        <f t="shared" si="23"/>
        <v>10500</v>
      </c>
      <c r="E461" s="2">
        <f t="shared" si="21"/>
        <v>-4500</v>
      </c>
      <c r="F461" s="3">
        <f t="shared" si="22"/>
        <v>-0.3</v>
      </c>
      <c r="G461" s="2">
        <v>15000</v>
      </c>
    </row>
    <row r="462" spans="1:7" x14ac:dyDescent="0.2">
      <c r="A462" s="1" t="s">
        <v>491</v>
      </c>
      <c r="B462" s="1" t="s">
        <v>483</v>
      </c>
      <c r="C462" s="2">
        <v>172000</v>
      </c>
      <c r="D462" s="2">
        <f t="shared" si="23"/>
        <v>120399.99999999999</v>
      </c>
      <c r="E462" s="2">
        <f t="shared" si="21"/>
        <v>-51600.000000000015</v>
      </c>
      <c r="F462" s="3">
        <f t="shared" si="22"/>
        <v>-0.3000000000000001</v>
      </c>
      <c r="G462" s="2">
        <v>172000</v>
      </c>
    </row>
    <row r="463" spans="1:7" x14ac:dyDescent="0.2">
      <c r="A463" s="1" t="s">
        <v>492</v>
      </c>
      <c r="B463" s="1" t="s">
        <v>483</v>
      </c>
      <c r="C463" s="2">
        <v>4250000</v>
      </c>
      <c r="D463" s="2">
        <f t="shared" si="23"/>
        <v>2975000</v>
      </c>
      <c r="E463" s="2">
        <f t="shared" si="21"/>
        <v>-1275000</v>
      </c>
      <c r="F463" s="3">
        <f t="shared" si="22"/>
        <v>-0.3</v>
      </c>
      <c r="G463" s="2">
        <v>4250000</v>
      </c>
    </row>
    <row r="464" spans="1:7" x14ac:dyDescent="0.2">
      <c r="A464" s="1" t="s">
        <v>493</v>
      </c>
      <c r="B464" s="1" t="s">
        <v>483</v>
      </c>
      <c r="C464" s="2">
        <v>7250000</v>
      </c>
      <c r="D464" s="2">
        <f t="shared" si="23"/>
        <v>5075000</v>
      </c>
      <c r="E464" s="2">
        <f t="shared" si="21"/>
        <v>-2175000</v>
      </c>
      <c r="F464" s="3">
        <f t="shared" si="22"/>
        <v>-0.3</v>
      </c>
      <c r="G464" s="2">
        <v>7250000</v>
      </c>
    </row>
    <row r="465" spans="1:7" x14ac:dyDescent="0.2">
      <c r="A465" s="1" t="s">
        <v>494</v>
      </c>
      <c r="B465" s="1" t="s">
        <v>483</v>
      </c>
      <c r="C465" s="2">
        <v>754000</v>
      </c>
      <c r="D465" s="2">
        <f t="shared" si="23"/>
        <v>527800</v>
      </c>
      <c r="E465" s="2">
        <f t="shared" si="21"/>
        <v>-226200</v>
      </c>
      <c r="F465" s="3">
        <f t="shared" si="22"/>
        <v>-0.3</v>
      </c>
      <c r="G465" s="2">
        <v>754000</v>
      </c>
    </row>
    <row r="466" spans="1:7" x14ac:dyDescent="0.2">
      <c r="A466" s="1" t="s">
        <v>495</v>
      </c>
      <c r="B466" s="1" t="s">
        <v>483</v>
      </c>
      <c r="C466" s="2">
        <v>1620000</v>
      </c>
      <c r="D466" s="2">
        <f t="shared" si="23"/>
        <v>1134000</v>
      </c>
      <c r="E466" s="2">
        <f t="shared" si="21"/>
        <v>-486000</v>
      </c>
      <c r="F466" s="3">
        <f t="shared" si="22"/>
        <v>-0.3</v>
      </c>
      <c r="G466" s="2">
        <v>1620000</v>
      </c>
    </row>
    <row r="467" spans="1:7" x14ac:dyDescent="0.2">
      <c r="A467" s="1" t="s">
        <v>496</v>
      </c>
      <c r="B467" s="1" t="s">
        <v>483</v>
      </c>
      <c r="C467" s="2">
        <v>2620000</v>
      </c>
      <c r="D467" s="2">
        <f t="shared" si="23"/>
        <v>1834000</v>
      </c>
      <c r="E467" s="2">
        <f t="shared" si="21"/>
        <v>-786000</v>
      </c>
      <c r="F467" s="3">
        <f t="shared" si="22"/>
        <v>-0.3</v>
      </c>
      <c r="G467" s="2">
        <v>2620000</v>
      </c>
    </row>
    <row r="468" spans="1:7" x14ac:dyDescent="0.2">
      <c r="A468" s="1" t="s">
        <v>497</v>
      </c>
      <c r="B468" s="1" t="s">
        <v>483</v>
      </c>
      <c r="C468" s="2">
        <v>164000</v>
      </c>
      <c r="D468" s="2">
        <f t="shared" si="23"/>
        <v>114799.99999999999</v>
      </c>
      <c r="E468" s="2">
        <f t="shared" si="21"/>
        <v>-49200.000000000015</v>
      </c>
      <c r="F468" s="3">
        <f t="shared" si="22"/>
        <v>-0.3000000000000001</v>
      </c>
      <c r="G468" s="2">
        <v>164000</v>
      </c>
    </row>
    <row r="469" spans="1:7" x14ac:dyDescent="0.2">
      <c r="A469" s="1" t="s">
        <v>498</v>
      </c>
      <c r="B469" s="1" t="s">
        <v>483</v>
      </c>
      <c r="C469" s="2">
        <v>235000</v>
      </c>
      <c r="D469" s="2">
        <f t="shared" si="23"/>
        <v>164500</v>
      </c>
      <c r="E469" s="2">
        <f t="shared" si="21"/>
        <v>-70500</v>
      </c>
      <c r="F469" s="3">
        <f t="shared" si="22"/>
        <v>-0.3</v>
      </c>
      <c r="G469" s="2">
        <v>235000</v>
      </c>
    </row>
    <row r="470" spans="1:7" x14ac:dyDescent="0.2">
      <c r="A470" s="1" t="s">
        <v>499</v>
      </c>
      <c r="B470" s="1" t="s">
        <v>483</v>
      </c>
      <c r="C470" s="2">
        <v>654000</v>
      </c>
      <c r="D470" s="2">
        <f t="shared" si="23"/>
        <v>457800</v>
      </c>
      <c r="E470" s="2">
        <f t="shared" si="21"/>
        <v>-196200</v>
      </c>
      <c r="F470" s="3">
        <f t="shared" si="22"/>
        <v>-0.3</v>
      </c>
      <c r="G470" s="2">
        <v>654000</v>
      </c>
    </row>
    <row r="471" spans="1:7" x14ac:dyDescent="0.2">
      <c r="A471" s="1" t="s">
        <v>500</v>
      </c>
      <c r="B471" s="1" t="s">
        <v>483</v>
      </c>
      <c r="C471" s="2">
        <v>86000</v>
      </c>
      <c r="D471" s="2">
        <f t="shared" si="23"/>
        <v>60199.999999999993</v>
      </c>
      <c r="E471" s="2">
        <f t="shared" si="21"/>
        <v>-25800.000000000007</v>
      </c>
      <c r="F471" s="3">
        <f t="shared" si="22"/>
        <v>-0.3000000000000001</v>
      </c>
      <c r="G471" s="2">
        <v>86000</v>
      </c>
    </row>
    <row r="472" spans="1:7" x14ac:dyDescent="0.2">
      <c r="A472" s="1" t="s">
        <v>501</v>
      </c>
      <c r="B472" s="1" t="s">
        <v>483</v>
      </c>
      <c r="C472" s="2">
        <v>186000</v>
      </c>
      <c r="D472" s="2">
        <f t="shared" si="23"/>
        <v>130199.99999999999</v>
      </c>
      <c r="E472" s="2">
        <f t="shared" si="21"/>
        <v>-55800.000000000015</v>
      </c>
      <c r="F472" s="3">
        <f t="shared" si="22"/>
        <v>-0.3000000000000001</v>
      </c>
      <c r="G472" s="2">
        <v>186000</v>
      </c>
    </row>
    <row r="473" spans="1:7" x14ac:dyDescent="0.2">
      <c r="A473" s="1" t="s">
        <v>502</v>
      </c>
      <c r="B473" s="1" t="s">
        <v>483</v>
      </c>
      <c r="C473" s="2">
        <v>312500</v>
      </c>
      <c r="D473" s="2">
        <f t="shared" si="23"/>
        <v>218750</v>
      </c>
      <c r="E473" s="2">
        <f t="shared" si="21"/>
        <v>-93750</v>
      </c>
      <c r="F473" s="3">
        <f t="shared" si="22"/>
        <v>-0.3</v>
      </c>
      <c r="G473" s="2">
        <v>312500</v>
      </c>
    </row>
    <row r="474" spans="1:7" x14ac:dyDescent="0.2">
      <c r="A474" s="1" t="s">
        <v>503</v>
      </c>
      <c r="B474" s="1" t="s">
        <v>483</v>
      </c>
      <c r="C474" s="2">
        <v>175000</v>
      </c>
      <c r="D474" s="2">
        <f t="shared" si="23"/>
        <v>122499.99999999999</v>
      </c>
      <c r="E474" s="2">
        <f t="shared" si="21"/>
        <v>-52500.000000000015</v>
      </c>
      <c r="F474" s="3">
        <f t="shared" si="22"/>
        <v>-0.3000000000000001</v>
      </c>
      <c r="G474" s="2">
        <v>175000</v>
      </c>
    </row>
    <row r="475" spans="1:7" x14ac:dyDescent="0.2">
      <c r="A475" s="1" t="s">
        <v>504</v>
      </c>
      <c r="B475" s="1" t="s">
        <v>483</v>
      </c>
      <c r="C475" s="2">
        <v>225000</v>
      </c>
      <c r="D475" s="2">
        <f t="shared" si="23"/>
        <v>157500</v>
      </c>
      <c r="E475" s="2">
        <f t="shared" si="21"/>
        <v>-67500</v>
      </c>
      <c r="F475" s="3">
        <f t="shared" si="22"/>
        <v>-0.3</v>
      </c>
      <c r="G475" s="2">
        <v>225000</v>
      </c>
    </row>
    <row r="476" spans="1:7" x14ac:dyDescent="0.2">
      <c r="A476" s="1" t="s">
        <v>505</v>
      </c>
      <c r="B476" s="1" t="s">
        <v>483</v>
      </c>
      <c r="C476" s="2">
        <v>227500</v>
      </c>
      <c r="D476" s="2">
        <f t="shared" si="23"/>
        <v>159250</v>
      </c>
      <c r="E476" s="2">
        <f t="shared" si="21"/>
        <v>-68250</v>
      </c>
      <c r="F476" s="3">
        <f t="shared" si="22"/>
        <v>-0.3</v>
      </c>
      <c r="G476" s="2">
        <v>227500</v>
      </c>
    </row>
    <row r="477" spans="1:7" x14ac:dyDescent="0.2">
      <c r="A477" s="1" t="s">
        <v>506</v>
      </c>
      <c r="B477" s="1" t="s">
        <v>483</v>
      </c>
      <c r="C477" s="2">
        <v>1435000</v>
      </c>
      <c r="D477" s="2">
        <f t="shared" si="23"/>
        <v>1004499.9999999999</v>
      </c>
      <c r="E477" s="2">
        <f t="shared" si="21"/>
        <v>-430500.00000000012</v>
      </c>
      <c r="F477" s="3">
        <f t="shared" si="22"/>
        <v>-0.3000000000000001</v>
      </c>
      <c r="G477" s="2">
        <v>1435000</v>
      </c>
    </row>
    <row r="478" spans="1:7" x14ac:dyDescent="0.2">
      <c r="A478" s="1" t="s">
        <v>507</v>
      </c>
      <c r="B478" s="1" t="s">
        <v>483</v>
      </c>
      <c r="C478" s="2">
        <v>1795000</v>
      </c>
      <c r="D478" s="2">
        <f t="shared" si="23"/>
        <v>1256500</v>
      </c>
      <c r="E478" s="2">
        <f t="shared" si="21"/>
        <v>-538500</v>
      </c>
      <c r="F478" s="3">
        <f t="shared" si="22"/>
        <v>-0.3</v>
      </c>
      <c r="G478" s="2">
        <v>1795000</v>
      </c>
    </row>
    <row r="479" spans="1:7" x14ac:dyDescent="0.2">
      <c r="A479" s="1" t="s">
        <v>508</v>
      </c>
      <c r="B479" s="1" t="s">
        <v>483</v>
      </c>
      <c r="C479" s="2">
        <v>415000</v>
      </c>
      <c r="D479" s="2">
        <f t="shared" si="23"/>
        <v>290500</v>
      </c>
      <c r="E479" s="2">
        <f t="shared" si="21"/>
        <v>-124500</v>
      </c>
      <c r="F479" s="3">
        <f t="shared" si="22"/>
        <v>-0.3</v>
      </c>
      <c r="G479" s="2">
        <v>415000</v>
      </c>
    </row>
    <row r="480" spans="1:7" x14ac:dyDescent="0.2">
      <c r="A480" s="1" t="s">
        <v>509</v>
      </c>
      <c r="B480" s="1" t="s">
        <v>483</v>
      </c>
      <c r="C480" s="2">
        <v>226000</v>
      </c>
      <c r="D480" s="2">
        <f t="shared" si="23"/>
        <v>158200</v>
      </c>
      <c r="E480" s="2">
        <f t="shared" si="21"/>
        <v>-67800</v>
      </c>
      <c r="F480" s="3">
        <f t="shared" si="22"/>
        <v>-0.3</v>
      </c>
      <c r="G480" s="2">
        <v>226000</v>
      </c>
    </row>
    <row r="481" spans="1:7" x14ac:dyDescent="0.2">
      <c r="A481" s="1" t="s">
        <v>510</v>
      </c>
      <c r="B481" s="1" t="s">
        <v>483</v>
      </c>
      <c r="C481" s="2">
        <v>367000</v>
      </c>
      <c r="D481" s="2">
        <f t="shared" si="23"/>
        <v>256899.99999999997</v>
      </c>
      <c r="E481" s="2">
        <f t="shared" si="21"/>
        <v>-110100.00000000003</v>
      </c>
      <c r="F481" s="3">
        <f t="shared" si="22"/>
        <v>-0.3000000000000001</v>
      </c>
      <c r="G481" s="2">
        <v>367000</v>
      </c>
    </row>
    <row r="482" spans="1:7" x14ac:dyDescent="0.2">
      <c r="A482" s="1" t="s">
        <v>511</v>
      </c>
      <c r="B482" s="1" t="s">
        <v>483</v>
      </c>
      <c r="C482" s="2">
        <v>341250</v>
      </c>
      <c r="D482" s="2">
        <f t="shared" si="23"/>
        <v>238874.99999999997</v>
      </c>
      <c r="E482" s="2">
        <f t="shared" si="21"/>
        <v>-102375.00000000003</v>
      </c>
      <c r="F482" s="3">
        <f t="shared" si="22"/>
        <v>-0.3000000000000001</v>
      </c>
      <c r="G482" s="2">
        <v>341250</v>
      </c>
    </row>
    <row r="483" spans="1:7" x14ac:dyDescent="0.2">
      <c r="A483" s="1" t="s">
        <v>512</v>
      </c>
      <c r="B483" s="1" t="s">
        <v>483</v>
      </c>
      <c r="C483" s="2">
        <v>542000</v>
      </c>
      <c r="D483" s="2">
        <f t="shared" si="23"/>
        <v>379400</v>
      </c>
      <c r="E483" s="2">
        <f t="shared" si="21"/>
        <v>-162600</v>
      </c>
      <c r="F483" s="3">
        <f t="shared" si="22"/>
        <v>-0.3</v>
      </c>
      <c r="G483" s="2">
        <v>542000</v>
      </c>
    </row>
    <row r="484" spans="1:7" x14ac:dyDescent="0.2">
      <c r="A484" s="1" t="s">
        <v>513</v>
      </c>
      <c r="B484" s="1" t="s">
        <v>483</v>
      </c>
      <c r="C484" s="2">
        <v>421000</v>
      </c>
      <c r="D484" s="2">
        <f t="shared" si="23"/>
        <v>294700</v>
      </c>
      <c r="E484" s="2">
        <f t="shared" si="21"/>
        <v>-126300</v>
      </c>
      <c r="F484" s="3">
        <f t="shared" si="22"/>
        <v>-0.3</v>
      </c>
      <c r="G484" s="2">
        <v>421000</v>
      </c>
    </row>
    <row r="485" spans="1:7" x14ac:dyDescent="0.2">
      <c r="A485" s="1" t="s">
        <v>514</v>
      </c>
      <c r="B485" s="1" t="s">
        <v>483</v>
      </c>
      <c r="C485" s="2">
        <v>2435000</v>
      </c>
      <c r="D485" s="2">
        <f t="shared" si="23"/>
        <v>1704500</v>
      </c>
      <c r="E485" s="2">
        <f t="shared" si="21"/>
        <v>-730500</v>
      </c>
      <c r="F485" s="3">
        <f t="shared" si="22"/>
        <v>-0.3</v>
      </c>
      <c r="G485" s="2">
        <v>2435000</v>
      </c>
    </row>
    <row r="486" spans="1:7" x14ac:dyDescent="0.2">
      <c r="A486" s="1" t="s">
        <v>515</v>
      </c>
      <c r="B486" s="1" t="s">
        <v>483</v>
      </c>
      <c r="C486" s="2">
        <v>2795000</v>
      </c>
      <c r="D486" s="2">
        <f t="shared" si="23"/>
        <v>1956499.9999999998</v>
      </c>
      <c r="E486" s="2">
        <f t="shared" si="21"/>
        <v>-838500.00000000023</v>
      </c>
      <c r="F486" s="3">
        <f t="shared" si="22"/>
        <v>-0.3000000000000001</v>
      </c>
      <c r="G486" s="2">
        <v>2795000</v>
      </c>
    </row>
    <row r="487" spans="1:7" x14ac:dyDescent="0.2">
      <c r="A487" s="1" t="s">
        <v>516</v>
      </c>
      <c r="B487" s="1" t="s">
        <v>483</v>
      </c>
      <c r="C487" s="2">
        <v>174000</v>
      </c>
      <c r="D487" s="2">
        <f t="shared" si="23"/>
        <v>121799.99999999999</v>
      </c>
      <c r="E487" s="2">
        <f t="shared" si="21"/>
        <v>-52200.000000000015</v>
      </c>
      <c r="F487" s="3">
        <f t="shared" si="22"/>
        <v>-0.3000000000000001</v>
      </c>
      <c r="G487" s="2">
        <v>174000</v>
      </c>
    </row>
    <row r="488" spans="1:7" x14ac:dyDescent="0.2">
      <c r="A488" s="1" t="s">
        <v>517</v>
      </c>
      <c r="B488" s="1" t="s">
        <v>483</v>
      </c>
      <c r="C488" s="2">
        <v>194000</v>
      </c>
      <c r="D488" s="2">
        <f t="shared" si="23"/>
        <v>135800</v>
      </c>
      <c r="E488" s="2">
        <f t="shared" si="21"/>
        <v>-58200</v>
      </c>
      <c r="F488" s="3">
        <f t="shared" si="22"/>
        <v>-0.3</v>
      </c>
      <c r="G488" s="2">
        <v>194000</v>
      </c>
    </row>
    <row r="489" spans="1:7" x14ac:dyDescent="0.2">
      <c r="A489" s="1" t="s">
        <v>518</v>
      </c>
      <c r="B489" s="1" t="s">
        <v>483</v>
      </c>
      <c r="C489" s="2">
        <v>186000</v>
      </c>
      <c r="D489" s="2">
        <f t="shared" si="23"/>
        <v>130199.99999999999</v>
      </c>
      <c r="E489" s="2">
        <f t="shared" si="21"/>
        <v>-55800.000000000015</v>
      </c>
      <c r="F489" s="3">
        <f t="shared" si="22"/>
        <v>-0.3000000000000001</v>
      </c>
      <c r="G489" s="2">
        <v>186000</v>
      </c>
    </row>
    <row r="490" spans="1:7" x14ac:dyDescent="0.2">
      <c r="A490" s="1" t="s">
        <v>519</v>
      </c>
      <c r="B490" s="1" t="s">
        <v>520</v>
      </c>
      <c r="C490" s="2">
        <v>32210</v>
      </c>
      <c r="D490" s="2">
        <f t="shared" si="23"/>
        <v>22547</v>
      </c>
      <c r="E490" s="2">
        <f t="shared" si="21"/>
        <v>-9663</v>
      </c>
      <c r="F490" s="3">
        <f t="shared" si="22"/>
        <v>-0.3</v>
      </c>
      <c r="G490" s="2">
        <v>32210</v>
      </c>
    </row>
    <row r="491" spans="1:7" x14ac:dyDescent="0.2">
      <c r="A491" s="1" t="s">
        <v>521</v>
      </c>
      <c r="B491" s="1" t="s">
        <v>522</v>
      </c>
      <c r="C491" s="2">
        <v>197000</v>
      </c>
      <c r="D491" s="2">
        <f t="shared" si="23"/>
        <v>137900</v>
      </c>
      <c r="E491" s="2">
        <f t="shared" si="21"/>
        <v>-59100</v>
      </c>
      <c r="F491" s="3">
        <f t="shared" si="22"/>
        <v>-0.3</v>
      </c>
      <c r="G491" s="2">
        <v>197000</v>
      </c>
    </row>
    <row r="492" spans="1:7" x14ac:dyDescent="0.2">
      <c r="A492" s="1" t="s">
        <v>523</v>
      </c>
      <c r="B492" s="1" t="s">
        <v>524</v>
      </c>
      <c r="C492" s="2">
        <v>104000</v>
      </c>
      <c r="D492" s="2">
        <f t="shared" si="23"/>
        <v>72800</v>
      </c>
      <c r="E492" s="2">
        <f t="shared" si="21"/>
        <v>-31200</v>
      </c>
      <c r="F492" s="3">
        <f t="shared" si="22"/>
        <v>-0.3</v>
      </c>
      <c r="G492" s="2">
        <v>104000</v>
      </c>
    </row>
    <row r="493" spans="1:7" x14ac:dyDescent="0.2">
      <c r="A493" s="1" t="s">
        <v>525</v>
      </c>
      <c r="B493" s="1" t="s">
        <v>524</v>
      </c>
      <c r="C493" s="2">
        <v>393000</v>
      </c>
      <c r="D493" s="2">
        <f t="shared" si="23"/>
        <v>275100</v>
      </c>
      <c r="E493" s="2">
        <f t="shared" si="21"/>
        <v>-117900</v>
      </c>
      <c r="F493" s="3">
        <f t="shared" si="22"/>
        <v>-0.3</v>
      </c>
      <c r="G493" s="2">
        <v>393000</v>
      </c>
    </row>
    <row r="494" spans="1:7" x14ac:dyDescent="0.2">
      <c r="A494" s="1" t="s">
        <v>526</v>
      </c>
      <c r="B494" s="1" t="s">
        <v>527</v>
      </c>
      <c r="C494" s="2">
        <v>198000</v>
      </c>
      <c r="D494" s="2">
        <f t="shared" si="23"/>
        <v>138600</v>
      </c>
      <c r="E494" s="2">
        <f t="shared" si="21"/>
        <v>-59400</v>
      </c>
      <c r="F494" s="3">
        <f t="shared" si="22"/>
        <v>-0.3</v>
      </c>
      <c r="G494" s="2">
        <v>198000</v>
      </c>
    </row>
    <row r="495" spans="1:7" x14ac:dyDescent="0.2">
      <c r="A495" s="1" t="s">
        <v>528</v>
      </c>
      <c r="B495" s="1" t="s">
        <v>527</v>
      </c>
      <c r="C495" s="2">
        <v>78000</v>
      </c>
      <c r="D495" s="2">
        <f t="shared" si="23"/>
        <v>54600</v>
      </c>
      <c r="E495" s="2">
        <f t="shared" si="21"/>
        <v>-23400</v>
      </c>
      <c r="F495" s="3">
        <f t="shared" si="22"/>
        <v>-0.3</v>
      </c>
      <c r="G495" s="2">
        <v>78000</v>
      </c>
    </row>
    <row r="496" spans="1:7" x14ac:dyDescent="0.2">
      <c r="A496" s="1" t="s">
        <v>529</v>
      </c>
      <c r="B496" s="1" t="s">
        <v>527</v>
      </c>
      <c r="C496" s="2">
        <v>234000</v>
      </c>
      <c r="D496" s="2">
        <f t="shared" si="23"/>
        <v>163800</v>
      </c>
      <c r="E496" s="2">
        <f t="shared" si="21"/>
        <v>-70200</v>
      </c>
      <c r="F496" s="3">
        <f t="shared" si="22"/>
        <v>-0.3</v>
      </c>
      <c r="G496" s="2">
        <v>234000</v>
      </c>
    </row>
    <row r="497" spans="1:7" x14ac:dyDescent="0.2">
      <c r="A497" s="1" t="s">
        <v>530</v>
      </c>
      <c r="B497" s="1" t="s">
        <v>527</v>
      </c>
      <c r="C497" s="2">
        <v>1640000</v>
      </c>
      <c r="D497" s="2">
        <f t="shared" si="23"/>
        <v>1148000</v>
      </c>
      <c r="E497" s="2">
        <f t="shared" si="21"/>
        <v>-492000</v>
      </c>
      <c r="F497" s="3">
        <f t="shared" si="22"/>
        <v>-0.3</v>
      </c>
      <c r="G497" s="2">
        <v>1640000</v>
      </c>
    </row>
    <row r="498" spans="1:7" x14ac:dyDescent="0.2">
      <c r="A498" s="1" t="s">
        <v>531</v>
      </c>
      <c r="B498" s="1" t="s">
        <v>527</v>
      </c>
      <c r="C498" s="2">
        <v>1940000</v>
      </c>
      <c r="D498" s="2">
        <f t="shared" si="23"/>
        <v>1358000</v>
      </c>
      <c r="E498" s="2">
        <f t="shared" si="21"/>
        <v>-582000</v>
      </c>
      <c r="F498" s="3">
        <f t="shared" si="22"/>
        <v>-0.3</v>
      </c>
      <c r="G498" s="2">
        <v>1940000</v>
      </c>
    </row>
    <row r="499" spans="1:7" x14ac:dyDescent="0.2">
      <c r="A499" s="1" t="s">
        <v>532</v>
      </c>
      <c r="B499" s="1" t="s">
        <v>527</v>
      </c>
      <c r="C499" s="2">
        <v>126000</v>
      </c>
      <c r="D499" s="2">
        <f t="shared" si="23"/>
        <v>88200</v>
      </c>
      <c r="E499" s="2">
        <f t="shared" si="21"/>
        <v>-37800</v>
      </c>
      <c r="F499" s="3">
        <f t="shared" si="22"/>
        <v>-0.3</v>
      </c>
      <c r="G499" s="2">
        <v>126000</v>
      </c>
    </row>
    <row r="500" spans="1:7" x14ac:dyDescent="0.2">
      <c r="A500" s="1" t="s">
        <v>533</v>
      </c>
      <c r="B500" s="1" t="s">
        <v>527</v>
      </c>
      <c r="C500" s="2">
        <v>46000</v>
      </c>
      <c r="D500" s="2">
        <f t="shared" si="23"/>
        <v>32199.999999999996</v>
      </c>
      <c r="E500" s="2">
        <f t="shared" si="21"/>
        <v>-13800.000000000004</v>
      </c>
      <c r="F500" s="3">
        <f t="shared" si="22"/>
        <v>-0.3000000000000001</v>
      </c>
      <c r="G500" s="2">
        <v>46000</v>
      </c>
    </row>
    <row r="501" spans="1:7" x14ac:dyDescent="0.2">
      <c r="A501" s="1" t="s">
        <v>534</v>
      </c>
      <c r="B501" s="1" t="s">
        <v>527</v>
      </c>
      <c r="C501" s="2">
        <v>155000</v>
      </c>
      <c r="D501" s="2">
        <f t="shared" si="23"/>
        <v>108500</v>
      </c>
      <c r="E501" s="2">
        <f t="shared" si="21"/>
        <v>-46500</v>
      </c>
      <c r="F501" s="3">
        <f t="shared" si="22"/>
        <v>-0.3</v>
      </c>
      <c r="G501" s="2">
        <v>155000</v>
      </c>
    </row>
    <row r="502" spans="1:7" x14ac:dyDescent="0.2">
      <c r="A502" s="1" t="s">
        <v>535</v>
      </c>
      <c r="B502" s="1" t="s">
        <v>527</v>
      </c>
      <c r="C502" s="2">
        <v>420000</v>
      </c>
      <c r="D502" s="2">
        <f t="shared" si="23"/>
        <v>294000</v>
      </c>
      <c r="E502" s="2">
        <f t="shared" si="21"/>
        <v>-126000</v>
      </c>
      <c r="F502" s="3">
        <f t="shared" si="22"/>
        <v>-0.3</v>
      </c>
      <c r="G502" s="2">
        <v>420000</v>
      </c>
    </row>
    <row r="503" spans="1:7" x14ac:dyDescent="0.2">
      <c r="A503" s="1" t="s">
        <v>536</v>
      </c>
      <c r="B503" s="1" t="s">
        <v>537</v>
      </c>
      <c r="C503" s="4">
        <v>0.32</v>
      </c>
      <c r="D503" s="2">
        <f t="shared" si="23"/>
        <v>0.22399999999999998</v>
      </c>
      <c r="E503" s="2">
        <f t="shared" si="21"/>
        <v>-9.600000000000003E-2</v>
      </c>
      <c r="F503" s="3">
        <f t="shared" si="22"/>
        <v>-0.3000000000000001</v>
      </c>
      <c r="G503" s="4">
        <v>0.32</v>
      </c>
    </row>
    <row r="504" spans="1:7" x14ac:dyDescent="0.2">
      <c r="A504" s="1" t="s">
        <v>538</v>
      </c>
      <c r="B504" s="1" t="s">
        <v>539</v>
      </c>
      <c r="C504" s="2">
        <v>63000</v>
      </c>
      <c r="D504" s="2">
        <f t="shared" si="23"/>
        <v>44100</v>
      </c>
      <c r="E504" s="2">
        <f t="shared" si="21"/>
        <v>-18900</v>
      </c>
      <c r="F504" s="3">
        <f t="shared" si="22"/>
        <v>-0.3</v>
      </c>
      <c r="G504" s="2">
        <v>63000</v>
      </c>
    </row>
    <row r="505" spans="1:7" x14ac:dyDescent="0.2">
      <c r="A505" s="1" t="s">
        <v>540</v>
      </c>
      <c r="B505" s="1" t="s">
        <v>539</v>
      </c>
      <c r="C505" s="2">
        <v>83000</v>
      </c>
      <c r="D505" s="2">
        <f t="shared" si="23"/>
        <v>58099.999999999993</v>
      </c>
      <c r="E505" s="2">
        <f t="shared" si="21"/>
        <v>-24900.000000000007</v>
      </c>
      <c r="F505" s="3">
        <f t="shared" si="22"/>
        <v>-0.3000000000000001</v>
      </c>
      <c r="G505" s="2">
        <v>83000</v>
      </c>
    </row>
    <row r="506" spans="1:7" x14ac:dyDescent="0.2">
      <c r="A506" s="1" t="s">
        <v>541</v>
      </c>
      <c r="B506" s="1" t="s">
        <v>539</v>
      </c>
      <c r="C506" s="2">
        <v>262710</v>
      </c>
      <c r="D506" s="2">
        <f t="shared" si="23"/>
        <v>183897</v>
      </c>
      <c r="E506" s="2">
        <f t="shared" si="21"/>
        <v>-78813</v>
      </c>
      <c r="F506" s="3">
        <f t="shared" si="22"/>
        <v>-0.3</v>
      </c>
      <c r="G506" s="2">
        <v>262710</v>
      </c>
    </row>
    <row r="507" spans="1:7" x14ac:dyDescent="0.2">
      <c r="A507" s="1" t="s">
        <v>542</v>
      </c>
      <c r="B507" s="1" t="s">
        <v>543</v>
      </c>
      <c r="C507" s="2">
        <v>180000</v>
      </c>
      <c r="D507" s="2">
        <f t="shared" si="23"/>
        <v>125999.99999999999</v>
      </c>
      <c r="E507" s="2">
        <f t="shared" si="21"/>
        <v>-54000.000000000015</v>
      </c>
      <c r="F507" s="3">
        <f t="shared" si="22"/>
        <v>-0.3000000000000001</v>
      </c>
      <c r="G507" s="2">
        <v>180000</v>
      </c>
    </row>
    <row r="508" spans="1:7" x14ac:dyDescent="0.2">
      <c r="A508" s="1" t="s">
        <v>544</v>
      </c>
      <c r="B508" s="1" t="s">
        <v>543</v>
      </c>
      <c r="C508" s="2">
        <v>180000</v>
      </c>
      <c r="D508" s="2">
        <f t="shared" si="23"/>
        <v>125999.99999999999</v>
      </c>
      <c r="E508" s="2">
        <f t="shared" si="21"/>
        <v>-54000.000000000015</v>
      </c>
      <c r="F508" s="3">
        <f t="shared" si="22"/>
        <v>-0.3000000000000001</v>
      </c>
      <c r="G508" s="2">
        <v>180000</v>
      </c>
    </row>
    <row r="509" spans="1:7" x14ac:dyDescent="0.2">
      <c r="A509" s="1" t="s">
        <v>545</v>
      </c>
      <c r="B509" s="1" t="s">
        <v>543</v>
      </c>
      <c r="C509" s="2">
        <v>344000</v>
      </c>
      <c r="D509" s="2">
        <f t="shared" si="23"/>
        <v>240799.99999999997</v>
      </c>
      <c r="E509" s="2">
        <f t="shared" si="21"/>
        <v>-103200.00000000003</v>
      </c>
      <c r="F509" s="3">
        <f t="shared" si="22"/>
        <v>-0.3000000000000001</v>
      </c>
      <c r="G509" s="2">
        <v>344000</v>
      </c>
    </row>
    <row r="510" spans="1:7" x14ac:dyDescent="0.2">
      <c r="A510" s="1" t="s">
        <v>546</v>
      </c>
      <c r="B510" s="1" t="s">
        <v>543</v>
      </c>
      <c r="C510" s="2">
        <v>344000</v>
      </c>
      <c r="D510" s="2">
        <f t="shared" si="23"/>
        <v>240799.99999999997</v>
      </c>
      <c r="E510" s="2">
        <f t="shared" si="21"/>
        <v>-103200.00000000003</v>
      </c>
      <c r="F510" s="3">
        <f t="shared" si="22"/>
        <v>-0.3000000000000001</v>
      </c>
      <c r="G510" s="2">
        <v>344000</v>
      </c>
    </row>
    <row r="511" spans="1:7" x14ac:dyDescent="0.2">
      <c r="A511" s="1" t="s">
        <v>547</v>
      </c>
      <c r="B511" s="1" t="s">
        <v>543</v>
      </c>
      <c r="C511" s="2">
        <v>445000</v>
      </c>
      <c r="D511" s="2">
        <f t="shared" si="23"/>
        <v>311500</v>
      </c>
      <c r="E511" s="2">
        <f t="shared" si="21"/>
        <v>-133500</v>
      </c>
      <c r="F511" s="3">
        <f t="shared" si="22"/>
        <v>-0.3</v>
      </c>
      <c r="G511" s="2">
        <v>445000</v>
      </c>
    </row>
    <row r="512" spans="1:7" x14ac:dyDescent="0.2">
      <c r="A512" s="1" t="s">
        <v>548</v>
      </c>
      <c r="B512" s="1" t="s">
        <v>543</v>
      </c>
      <c r="C512" s="2">
        <v>445000</v>
      </c>
      <c r="D512" s="2">
        <f t="shared" si="23"/>
        <v>311500</v>
      </c>
      <c r="E512" s="2">
        <f t="shared" si="21"/>
        <v>-133500</v>
      </c>
      <c r="F512" s="3">
        <f t="shared" si="22"/>
        <v>-0.3</v>
      </c>
      <c r="G512" s="2">
        <v>445000</v>
      </c>
    </row>
    <row r="513" spans="1:7" x14ac:dyDescent="0.2">
      <c r="A513" s="1" t="s">
        <v>549</v>
      </c>
      <c r="B513" s="1" t="s">
        <v>543</v>
      </c>
      <c r="C513" s="2">
        <v>3532000</v>
      </c>
      <c r="D513" s="2">
        <f t="shared" si="23"/>
        <v>2472400</v>
      </c>
      <c r="E513" s="2">
        <f t="shared" si="21"/>
        <v>-1059600</v>
      </c>
      <c r="F513" s="3">
        <f t="shared" si="22"/>
        <v>-0.3</v>
      </c>
      <c r="G513" s="2">
        <v>3532000</v>
      </c>
    </row>
    <row r="514" spans="1:7" x14ac:dyDescent="0.2">
      <c r="A514" s="1" t="s">
        <v>550</v>
      </c>
      <c r="B514" s="1" t="s">
        <v>543</v>
      </c>
      <c r="C514" s="2">
        <v>4870000</v>
      </c>
      <c r="D514" s="2">
        <f t="shared" si="23"/>
        <v>3409000</v>
      </c>
      <c r="E514" s="2">
        <f t="shared" si="21"/>
        <v>-1461000</v>
      </c>
      <c r="F514" s="3">
        <f t="shared" si="22"/>
        <v>-0.3</v>
      </c>
      <c r="G514" s="2">
        <v>4870000</v>
      </c>
    </row>
    <row r="515" spans="1:7" x14ac:dyDescent="0.2">
      <c r="A515" s="1" t="s">
        <v>551</v>
      </c>
      <c r="B515" s="1" t="s">
        <v>543</v>
      </c>
      <c r="C515" s="2">
        <v>6105000</v>
      </c>
      <c r="D515" s="2">
        <f t="shared" si="23"/>
        <v>4273500</v>
      </c>
      <c r="E515" s="2">
        <f t="shared" ref="E515:E522" si="24">IF(AND(C515&lt;&gt;"",D515&lt;&gt;""),D515-C515,"")</f>
        <v>-1831500</v>
      </c>
      <c r="F515" s="3">
        <f t="shared" ref="F515:F522" si="25">IF(AND(C515&lt;&gt;"",D515&lt;&gt;"",C515&gt;0),(D515-C515)/C515,"")</f>
        <v>-0.3</v>
      </c>
      <c r="G515" s="2">
        <v>6105000</v>
      </c>
    </row>
    <row r="516" spans="1:7" x14ac:dyDescent="0.2">
      <c r="A516" s="1" t="s">
        <v>552</v>
      </c>
      <c r="B516" s="1" t="s">
        <v>543</v>
      </c>
      <c r="C516" s="2">
        <v>322710</v>
      </c>
      <c r="D516" s="2">
        <f t="shared" ref="D516:D522" si="26">C516*0.7</f>
        <v>225897</v>
      </c>
      <c r="E516" s="2">
        <f t="shared" si="24"/>
        <v>-96813</v>
      </c>
      <c r="F516" s="3">
        <f t="shared" si="25"/>
        <v>-0.3</v>
      </c>
      <c r="G516" s="2">
        <v>322710</v>
      </c>
    </row>
    <row r="517" spans="1:7" x14ac:dyDescent="0.2">
      <c r="A517" s="1" t="s">
        <v>553</v>
      </c>
      <c r="B517" s="1" t="s">
        <v>554</v>
      </c>
      <c r="C517" s="2">
        <v>171000</v>
      </c>
      <c r="D517" s="2">
        <f t="shared" si="26"/>
        <v>119699.99999999999</v>
      </c>
      <c r="E517" s="2">
        <f t="shared" si="24"/>
        <v>-51300.000000000015</v>
      </c>
      <c r="F517" s="3">
        <f t="shared" si="25"/>
        <v>-0.3000000000000001</v>
      </c>
      <c r="G517" s="2">
        <v>171000</v>
      </c>
    </row>
    <row r="518" spans="1:7" x14ac:dyDescent="0.2">
      <c r="A518" s="1" t="s">
        <v>555</v>
      </c>
      <c r="B518" s="1" t="s">
        <v>554</v>
      </c>
      <c r="C518" s="2">
        <v>32710</v>
      </c>
      <c r="D518" s="2">
        <f t="shared" si="26"/>
        <v>22897</v>
      </c>
      <c r="E518" s="2">
        <f t="shared" si="24"/>
        <v>-9813</v>
      </c>
      <c r="F518" s="3">
        <f t="shared" si="25"/>
        <v>-0.3</v>
      </c>
      <c r="G518" s="2">
        <v>32710</v>
      </c>
    </row>
    <row r="519" spans="1:7" x14ac:dyDescent="0.2">
      <c r="A519" s="1" t="s">
        <v>556</v>
      </c>
      <c r="B519" s="1" t="s">
        <v>554</v>
      </c>
      <c r="C519" s="2">
        <v>62710</v>
      </c>
      <c r="D519" s="2">
        <f t="shared" si="26"/>
        <v>43897</v>
      </c>
      <c r="E519" s="2">
        <f t="shared" si="24"/>
        <v>-18813</v>
      </c>
      <c r="F519" s="3">
        <f t="shared" si="25"/>
        <v>-0.3</v>
      </c>
      <c r="G519" s="2">
        <v>62710</v>
      </c>
    </row>
    <row r="520" spans="1:7" x14ac:dyDescent="0.2">
      <c r="A520" s="1" t="s">
        <v>557</v>
      </c>
      <c r="B520" s="1" t="s">
        <v>554</v>
      </c>
      <c r="C520" s="2">
        <v>184000</v>
      </c>
      <c r="D520" s="2">
        <f t="shared" si="26"/>
        <v>128799.99999999999</v>
      </c>
      <c r="E520" s="2">
        <f t="shared" si="24"/>
        <v>-55200.000000000015</v>
      </c>
      <c r="F520" s="3">
        <f t="shared" si="25"/>
        <v>-0.3000000000000001</v>
      </c>
      <c r="G520" s="2">
        <v>184000</v>
      </c>
    </row>
    <row r="521" spans="1:7" x14ac:dyDescent="0.2">
      <c r="A521" s="1" t="s">
        <v>558</v>
      </c>
      <c r="B521" s="1" t="s">
        <v>559</v>
      </c>
      <c r="C521" s="2">
        <v>322710</v>
      </c>
      <c r="D521" s="2">
        <f t="shared" si="26"/>
        <v>225897</v>
      </c>
      <c r="E521" s="2">
        <f t="shared" si="24"/>
        <v>-96813</v>
      </c>
      <c r="F521" s="3">
        <f t="shared" si="25"/>
        <v>-0.3</v>
      </c>
      <c r="G521" s="2">
        <v>322710</v>
      </c>
    </row>
    <row r="522" spans="1:7" x14ac:dyDescent="0.2">
      <c r="A522" s="1" t="s">
        <v>560</v>
      </c>
      <c r="B522" s="1" t="s">
        <v>559</v>
      </c>
      <c r="C522" s="2">
        <v>322710</v>
      </c>
      <c r="D522" s="2">
        <f t="shared" si="26"/>
        <v>225897</v>
      </c>
      <c r="E522" s="2">
        <f t="shared" si="24"/>
        <v>-96813</v>
      </c>
      <c r="F522" s="3">
        <f t="shared" si="25"/>
        <v>-0.3</v>
      </c>
      <c r="G522" s="2">
        <v>322710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F7DBB2-5AF8-4400-90E9-A53FC9D99D7F}">
  <dimension ref="A1:E521"/>
  <sheetViews>
    <sheetView topLeftCell="A459" workbookViewId="0">
      <selection activeCell="J509" sqref="J509"/>
    </sheetView>
  </sheetViews>
  <sheetFormatPr defaultRowHeight="12.75" x14ac:dyDescent="0.2"/>
  <cols>
    <col min="1" max="1" width="29.140625" bestFit="1" customWidth="1"/>
    <col min="2" max="2" width="26" bestFit="1" customWidth="1"/>
  </cols>
  <sheetData>
    <row r="1" spans="1:5" x14ac:dyDescent="0.2">
      <c r="A1" s="1" t="s">
        <v>0</v>
      </c>
      <c r="B1" s="1" t="s">
        <v>1</v>
      </c>
      <c r="C1" s="1" t="s">
        <v>561</v>
      </c>
      <c r="D1" s="1" t="s">
        <v>562</v>
      </c>
      <c r="E1" s="1" t="s">
        <v>563</v>
      </c>
    </row>
    <row r="2" spans="1:5" x14ac:dyDescent="0.2">
      <c r="A2" s="1" t="s">
        <v>7</v>
      </c>
      <c r="B2" s="1" t="s">
        <v>8</v>
      </c>
      <c r="C2" s="1" t="s">
        <v>564</v>
      </c>
      <c r="D2" s="1" t="s">
        <v>564</v>
      </c>
    </row>
    <row r="3" spans="1:5" x14ac:dyDescent="0.2">
      <c r="A3" s="1" t="s">
        <v>9</v>
      </c>
      <c r="B3" s="1" t="s">
        <v>8</v>
      </c>
      <c r="C3" s="1" t="s">
        <v>564</v>
      </c>
      <c r="D3" s="1" t="s">
        <v>564</v>
      </c>
    </row>
    <row r="4" spans="1:5" x14ac:dyDescent="0.2">
      <c r="A4" s="1" t="s">
        <v>10</v>
      </c>
      <c r="B4" s="1" t="s">
        <v>8</v>
      </c>
      <c r="C4" s="1" t="s">
        <v>564</v>
      </c>
      <c r="D4" s="1" t="s">
        <v>564</v>
      </c>
    </row>
    <row r="5" spans="1:5" x14ac:dyDescent="0.2">
      <c r="A5" s="1" t="s">
        <v>11</v>
      </c>
      <c r="B5" s="1" t="s">
        <v>8</v>
      </c>
      <c r="C5" s="1" t="s">
        <v>564</v>
      </c>
      <c r="D5" s="1" t="s">
        <v>564</v>
      </c>
    </row>
    <row r="6" spans="1:5" x14ac:dyDescent="0.2">
      <c r="A6" s="1" t="s">
        <v>12</v>
      </c>
      <c r="B6" s="1" t="s">
        <v>8</v>
      </c>
      <c r="C6" s="1" t="s">
        <v>564</v>
      </c>
      <c r="D6" s="1" t="s">
        <v>564</v>
      </c>
    </row>
    <row r="7" spans="1:5" x14ac:dyDescent="0.2">
      <c r="A7" s="1" t="s">
        <v>13</v>
      </c>
      <c r="B7" s="1" t="s">
        <v>8</v>
      </c>
      <c r="C7" s="1" t="s">
        <v>564</v>
      </c>
      <c r="D7" s="1" t="s">
        <v>564</v>
      </c>
    </row>
    <row r="8" spans="1:5" x14ac:dyDescent="0.2">
      <c r="A8" s="1" t="s">
        <v>14</v>
      </c>
      <c r="B8" s="1" t="s">
        <v>8</v>
      </c>
      <c r="C8" s="1" t="s">
        <v>564</v>
      </c>
      <c r="D8" s="1" t="s">
        <v>564</v>
      </c>
    </row>
    <row r="9" spans="1:5" x14ac:dyDescent="0.2">
      <c r="A9" s="1" t="s">
        <v>15</v>
      </c>
      <c r="B9" s="1" t="s">
        <v>8</v>
      </c>
      <c r="C9" s="1" t="s">
        <v>564</v>
      </c>
      <c r="D9" s="1" t="s">
        <v>564</v>
      </c>
    </row>
    <row r="10" spans="1:5" x14ac:dyDescent="0.2">
      <c r="A10" s="1" t="s">
        <v>16</v>
      </c>
      <c r="B10" s="1" t="s">
        <v>8</v>
      </c>
      <c r="C10" s="1" t="s">
        <v>564</v>
      </c>
      <c r="D10" s="1" t="s">
        <v>564</v>
      </c>
    </row>
    <row r="11" spans="1:5" x14ac:dyDescent="0.2">
      <c r="A11" s="1" t="s">
        <v>17</v>
      </c>
      <c r="B11" s="1" t="s">
        <v>8</v>
      </c>
      <c r="C11" s="1" t="s">
        <v>564</v>
      </c>
      <c r="D11" s="1" t="s">
        <v>564</v>
      </c>
    </row>
    <row r="12" spans="1:5" x14ac:dyDescent="0.2">
      <c r="A12" s="1" t="s">
        <v>18</v>
      </c>
      <c r="B12" s="1" t="s">
        <v>8</v>
      </c>
      <c r="C12" s="1" t="s">
        <v>564</v>
      </c>
      <c r="D12" s="1" t="s">
        <v>564</v>
      </c>
    </row>
    <row r="13" spans="1:5" x14ac:dyDescent="0.2">
      <c r="A13" s="1" t="s">
        <v>19</v>
      </c>
      <c r="B13" s="1" t="s">
        <v>8</v>
      </c>
      <c r="C13" s="1" t="s">
        <v>564</v>
      </c>
      <c r="D13" s="1" t="s">
        <v>564</v>
      </c>
    </row>
    <row r="14" spans="1:5" x14ac:dyDescent="0.2">
      <c r="A14" s="1" t="s">
        <v>20</v>
      </c>
      <c r="B14" s="1" t="s">
        <v>8</v>
      </c>
      <c r="C14" s="1" t="s">
        <v>564</v>
      </c>
      <c r="D14" s="1" t="s">
        <v>564</v>
      </c>
    </row>
    <row r="15" spans="1:5" x14ac:dyDescent="0.2">
      <c r="A15" s="1" t="s">
        <v>21</v>
      </c>
      <c r="B15" s="1" t="s">
        <v>22</v>
      </c>
      <c r="C15" s="1" t="s">
        <v>564</v>
      </c>
      <c r="D15" s="1" t="s">
        <v>564</v>
      </c>
    </row>
    <row r="16" spans="1:5" x14ac:dyDescent="0.2">
      <c r="A16" s="1" t="s">
        <v>23</v>
      </c>
      <c r="B16" s="1" t="s">
        <v>22</v>
      </c>
      <c r="C16" s="1" t="s">
        <v>564</v>
      </c>
      <c r="D16" s="1" t="s">
        <v>564</v>
      </c>
    </row>
    <row r="17" spans="1:4" x14ac:dyDescent="0.2">
      <c r="A17" s="1" t="s">
        <v>24</v>
      </c>
      <c r="B17" s="1" t="s">
        <v>22</v>
      </c>
      <c r="C17" s="1" t="s">
        <v>564</v>
      </c>
      <c r="D17" s="1" t="s">
        <v>564</v>
      </c>
    </row>
    <row r="18" spans="1:4" x14ac:dyDescent="0.2">
      <c r="A18" s="1" t="s">
        <v>25</v>
      </c>
      <c r="B18" s="1" t="s">
        <v>22</v>
      </c>
      <c r="C18" s="1" t="s">
        <v>564</v>
      </c>
      <c r="D18" s="1" t="s">
        <v>564</v>
      </c>
    </row>
    <row r="19" spans="1:4" x14ac:dyDescent="0.2">
      <c r="A19" s="1" t="s">
        <v>26</v>
      </c>
      <c r="B19" s="1" t="s">
        <v>22</v>
      </c>
      <c r="C19" s="1" t="s">
        <v>564</v>
      </c>
      <c r="D19" s="1" t="s">
        <v>564</v>
      </c>
    </row>
    <row r="20" spans="1:4" x14ac:dyDescent="0.2">
      <c r="A20" s="1" t="s">
        <v>27</v>
      </c>
      <c r="B20" s="1" t="s">
        <v>22</v>
      </c>
      <c r="C20" s="1" t="s">
        <v>564</v>
      </c>
      <c r="D20" s="1" t="s">
        <v>564</v>
      </c>
    </row>
    <row r="21" spans="1:4" x14ac:dyDescent="0.2">
      <c r="A21" s="1" t="s">
        <v>28</v>
      </c>
      <c r="B21" s="1" t="s">
        <v>22</v>
      </c>
      <c r="C21" s="1" t="s">
        <v>564</v>
      </c>
      <c r="D21" s="1" t="s">
        <v>564</v>
      </c>
    </row>
    <row r="22" spans="1:4" x14ac:dyDescent="0.2">
      <c r="A22" s="1" t="s">
        <v>29</v>
      </c>
      <c r="B22" s="1" t="s">
        <v>22</v>
      </c>
      <c r="C22" s="1" t="s">
        <v>564</v>
      </c>
      <c r="D22" s="1" t="s">
        <v>564</v>
      </c>
    </row>
    <row r="23" spans="1:4" x14ac:dyDescent="0.2">
      <c r="A23" s="1" t="s">
        <v>30</v>
      </c>
      <c r="B23" s="1" t="s">
        <v>22</v>
      </c>
      <c r="C23" s="1" t="s">
        <v>564</v>
      </c>
      <c r="D23" s="1" t="s">
        <v>564</v>
      </c>
    </row>
    <row r="24" spans="1:4" x14ac:dyDescent="0.2">
      <c r="A24" s="1" t="s">
        <v>31</v>
      </c>
      <c r="B24" s="1" t="s">
        <v>22</v>
      </c>
      <c r="C24" s="1" t="s">
        <v>564</v>
      </c>
      <c r="D24" s="1" t="s">
        <v>564</v>
      </c>
    </row>
    <row r="25" spans="1:4" x14ac:dyDescent="0.2">
      <c r="A25" s="1" t="s">
        <v>32</v>
      </c>
      <c r="B25" s="1" t="s">
        <v>22</v>
      </c>
      <c r="C25" s="1" t="s">
        <v>564</v>
      </c>
      <c r="D25" s="1" t="s">
        <v>564</v>
      </c>
    </row>
    <row r="26" spans="1:4" x14ac:dyDescent="0.2">
      <c r="A26" s="1" t="s">
        <v>33</v>
      </c>
      <c r="B26" s="1" t="s">
        <v>22</v>
      </c>
      <c r="C26" s="1" t="s">
        <v>564</v>
      </c>
      <c r="D26" s="1" t="s">
        <v>564</v>
      </c>
    </row>
    <row r="27" spans="1:4" x14ac:dyDescent="0.2">
      <c r="A27" s="1" t="s">
        <v>34</v>
      </c>
      <c r="B27" s="1" t="s">
        <v>22</v>
      </c>
      <c r="C27" s="1" t="s">
        <v>564</v>
      </c>
      <c r="D27" s="1" t="s">
        <v>564</v>
      </c>
    </row>
    <row r="28" spans="1:4" x14ac:dyDescent="0.2">
      <c r="A28" s="1" t="s">
        <v>35</v>
      </c>
      <c r="B28" s="1" t="s">
        <v>22</v>
      </c>
      <c r="C28" s="1" t="s">
        <v>564</v>
      </c>
      <c r="D28" s="1" t="s">
        <v>564</v>
      </c>
    </row>
    <row r="29" spans="1:4" x14ac:dyDescent="0.2">
      <c r="A29" s="1" t="s">
        <v>36</v>
      </c>
      <c r="B29" s="1" t="s">
        <v>22</v>
      </c>
      <c r="C29" s="1" t="s">
        <v>564</v>
      </c>
      <c r="D29" s="1" t="s">
        <v>564</v>
      </c>
    </row>
    <row r="30" spans="1:4" x14ac:dyDescent="0.2">
      <c r="A30" s="1" t="s">
        <v>37</v>
      </c>
      <c r="B30" s="1" t="s">
        <v>22</v>
      </c>
      <c r="C30" s="1" t="s">
        <v>564</v>
      </c>
      <c r="D30" s="1" t="s">
        <v>564</v>
      </c>
    </row>
    <row r="31" spans="1:4" x14ac:dyDescent="0.2">
      <c r="A31" s="1" t="s">
        <v>38</v>
      </c>
      <c r="B31" s="1" t="s">
        <v>22</v>
      </c>
      <c r="C31" s="1" t="s">
        <v>564</v>
      </c>
      <c r="D31" s="1" t="s">
        <v>564</v>
      </c>
    </row>
    <row r="32" spans="1:4" x14ac:dyDescent="0.2">
      <c r="A32" s="1" t="s">
        <v>39</v>
      </c>
      <c r="B32" s="1" t="s">
        <v>22</v>
      </c>
      <c r="C32" s="1" t="s">
        <v>564</v>
      </c>
      <c r="D32" s="1" t="s">
        <v>564</v>
      </c>
    </row>
    <row r="33" spans="1:4" x14ac:dyDescent="0.2">
      <c r="A33" s="1" t="s">
        <v>40</v>
      </c>
      <c r="B33" s="1" t="s">
        <v>22</v>
      </c>
      <c r="C33" s="1" t="s">
        <v>564</v>
      </c>
      <c r="D33" s="1" t="s">
        <v>564</v>
      </c>
    </row>
    <row r="34" spans="1:4" x14ac:dyDescent="0.2">
      <c r="A34" s="1" t="s">
        <v>41</v>
      </c>
      <c r="B34" s="1" t="s">
        <v>22</v>
      </c>
      <c r="C34" s="1" t="s">
        <v>564</v>
      </c>
      <c r="D34" s="1" t="s">
        <v>564</v>
      </c>
    </row>
    <row r="35" spans="1:4" x14ac:dyDescent="0.2">
      <c r="A35" s="1" t="s">
        <v>42</v>
      </c>
      <c r="B35" s="1" t="s">
        <v>22</v>
      </c>
      <c r="C35" s="1" t="s">
        <v>564</v>
      </c>
      <c r="D35" s="1" t="s">
        <v>564</v>
      </c>
    </row>
    <row r="36" spans="1:4" x14ac:dyDescent="0.2">
      <c r="A36" s="1" t="s">
        <v>43</v>
      </c>
      <c r="B36" s="1" t="s">
        <v>22</v>
      </c>
      <c r="C36" s="1" t="s">
        <v>564</v>
      </c>
      <c r="D36" s="1" t="s">
        <v>564</v>
      </c>
    </row>
    <row r="37" spans="1:4" x14ac:dyDescent="0.2">
      <c r="A37" s="1" t="s">
        <v>44</v>
      </c>
      <c r="B37" s="1" t="s">
        <v>22</v>
      </c>
      <c r="C37" s="1" t="s">
        <v>564</v>
      </c>
      <c r="D37" s="1" t="s">
        <v>564</v>
      </c>
    </row>
    <row r="38" spans="1:4" x14ac:dyDescent="0.2">
      <c r="A38" s="1" t="s">
        <v>45</v>
      </c>
      <c r="B38" s="1" t="s">
        <v>22</v>
      </c>
      <c r="C38" s="1" t="s">
        <v>564</v>
      </c>
      <c r="D38" s="1" t="s">
        <v>564</v>
      </c>
    </row>
    <row r="39" spans="1:4" x14ac:dyDescent="0.2">
      <c r="A39" s="1" t="s">
        <v>46</v>
      </c>
      <c r="B39" s="1" t="s">
        <v>22</v>
      </c>
      <c r="C39" s="1" t="s">
        <v>564</v>
      </c>
      <c r="D39" s="1" t="s">
        <v>564</v>
      </c>
    </row>
    <row r="40" spans="1:4" x14ac:dyDescent="0.2">
      <c r="A40" s="1" t="s">
        <v>47</v>
      </c>
      <c r="B40" s="1" t="s">
        <v>22</v>
      </c>
      <c r="C40" s="1" t="s">
        <v>564</v>
      </c>
      <c r="D40" s="1" t="s">
        <v>564</v>
      </c>
    </row>
    <row r="41" spans="1:4" x14ac:dyDescent="0.2">
      <c r="A41" s="1" t="s">
        <v>48</v>
      </c>
      <c r="B41" s="1" t="s">
        <v>22</v>
      </c>
      <c r="C41" s="1" t="s">
        <v>564</v>
      </c>
      <c r="D41" s="1" t="s">
        <v>564</v>
      </c>
    </row>
    <row r="42" spans="1:4" x14ac:dyDescent="0.2">
      <c r="A42" s="1" t="s">
        <v>49</v>
      </c>
      <c r="B42" s="1" t="s">
        <v>22</v>
      </c>
      <c r="C42" s="1" t="s">
        <v>564</v>
      </c>
      <c r="D42" s="1" t="s">
        <v>564</v>
      </c>
    </row>
    <row r="43" spans="1:4" x14ac:dyDescent="0.2">
      <c r="A43" s="1" t="s">
        <v>50</v>
      </c>
      <c r="B43" s="1" t="s">
        <v>22</v>
      </c>
      <c r="C43" s="1" t="s">
        <v>564</v>
      </c>
      <c r="D43" s="1" t="s">
        <v>564</v>
      </c>
    </row>
    <row r="44" spans="1:4" x14ac:dyDescent="0.2">
      <c r="A44" s="1" t="s">
        <v>51</v>
      </c>
      <c r="B44" s="1" t="s">
        <v>22</v>
      </c>
      <c r="C44" s="1" t="s">
        <v>564</v>
      </c>
      <c r="D44" s="1" t="s">
        <v>564</v>
      </c>
    </row>
    <row r="45" spans="1:4" x14ac:dyDescent="0.2">
      <c r="A45" s="1" t="s">
        <v>52</v>
      </c>
      <c r="B45" s="1" t="s">
        <v>22</v>
      </c>
      <c r="C45" s="1" t="s">
        <v>564</v>
      </c>
      <c r="D45" s="1" t="s">
        <v>564</v>
      </c>
    </row>
    <row r="46" spans="1:4" x14ac:dyDescent="0.2">
      <c r="A46" s="1" t="s">
        <v>53</v>
      </c>
      <c r="B46" s="1" t="s">
        <v>22</v>
      </c>
      <c r="C46" s="1" t="s">
        <v>564</v>
      </c>
      <c r="D46" s="1" t="s">
        <v>564</v>
      </c>
    </row>
    <row r="47" spans="1:4" x14ac:dyDescent="0.2">
      <c r="A47" s="1" t="s">
        <v>54</v>
      </c>
      <c r="B47" s="1" t="s">
        <v>22</v>
      </c>
      <c r="C47" s="1" t="s">
        <v>564</v>
      </c>
      <c r="D47" s="1" t="s">
        <v>564</v>
      </c>
    </row>
    <row r="48" spans="1:4" x14ac:dyDescent="0.2">
      <c r="A48" s="1" t="s">
        <v>55</v>
      </c>
      <c r="B48" s="1" t="s">
        <v>22</v>
      </c>
      <c r="C48" s="1" t="s">
        <v>564</v>
      </c>
      <c r="D48" s="1" t="s">
        <v>564</v>
      </c>
    </row>
    <row r="49" spans="1:4" x14ac:dyDescent="0.2">
      <c r="A49" s="1" t="s">
        <v>56</v>
      </c>
      <c r="B49" s="1" t="s">
        <v>22</v>
      </c>
      <c r="C49" s="1" t="s">
        <v>564</v>
      </c>
      <c r="D49" s="1" t="s">
        <v>564</v>
      </c>
    </row>
    <row r="50" spans="1:4" x14ac:dyDescent="0.2">
      <c r="A50" s="1" t="s">
        <v>57</v>
      </c>
      <c r="B50" s="1" t="s">
        <v>22</v>
      </c>
      <c r="C50" s="1" t="s">
        <v>564</v>
      </c>
      <c r="D50" s="1" t="s">
        <v>564</v>
      </c>
    </row>
    <row r="51" spans="1:4" x14ac:dyDescent="0.2">
      <c r="A51" s="1" t="s">
        <v>58</v>
      </c>
      <c r="B51" s="1" t="s">
        <v>22</v>
      </c>
      <c r="C51" s="1" t="s">
        <v>564</v>
      </c>
      <c r="D51" s="1" t="s">
        <v>564</v>
      </c>
    </row>
    <row r="52" spans="1:4" x14ac:dyDescent="0.2">
      <c r="A52" s="1" t="s">
        <v>59</v>
      </c>
      <c r="B52" s="1" t="s">
        <v>22</v>
      </c>
      <c r="C52" s="1" t="s">
        <v>564</v>
      </c>
      <c r="D52" s="1" t="s">
        <v>564</v>
      </c>
    </row>
    <row r="53" spans="1:4" x14ac:dyDescent="0.2">
      <c r="A53" s="1" t="s">
        <v>60</v>
      </c>
      <c r="B53" s="1" t="s">
        <v>22</v>
      </c>
      <c r="C53" s="1" t="s">
        <v>564</v>
      </c>
      <c r="D53" s="1" t="s">
        <v>564</v>
      </c>
    </row>
    <row r="54" spans="1:4" x14ac:dyDescent="0.2">
      <c r="A54" s="1" t="s">
        <v>61</v>
      </c>
      <c r="B54" s="1" t="s">
        <v>22</v>
      </c>
      <c r="C54" s="1" t="s">
        <v>564</v>
      </c>
      <c r="D54" s="1" t="s">
        <v>564</v>
      </c>
    </row>
    <row r="55" spans="1:4" x14ac:dyDescent="0.2">
      <c r="A55" s="1" t="s">
        <v>62</v>
      </c>
      <c r="B55" s="1" t="s">
        <v>22</v>
      </c>
      <c r="C55" s="1" t="s">
        <v>564</v>
      </c>
      <c r="D55" s="1" t="s">
        <v>564</v>
      </c>
    </row>
    <row r="56" spans="1:4" x14ac:dyDescent="0.2">
      <c r="A56" s="1" t="s">
        <v>63</v>
      </c>
      <c r="B56" s="1" t="s">
        <v>22</v>
      </c>
      <c r="C56" s="1" t="s">
        <v>564</v>
      </c>
      <c r="D56" s="1" t="s">
        <v>564</v>
      </c>
    </row>
    <row r="57" spans="1:4" x14ac:dyDescent="0.2">
      <c r="A57" s="1" t="s">
        <v>64</v>
      </c>
      <c r="B57" s="1" t="s">
        <v>22</v>
      </c>
      <c r="C57" s="1" t="s">
        <v>564</v>
      </c>
      <c r="D57" s="1" t="s">
        <v>564</v>
      </c>
    </row>
    <row r="58" spans="1:4" x14ac:dyDescent="0.2">
      <c r="A58" s="1" t="s">
        <v>65</v>
      </c>
      <c r="B58" s="1" t="s">
        <v>22</v>
      </c>
      <c r="C58" s="1" t="s">
        <v>564</v>
      </c>
      <c r="D58" s="1" t="s">
        <v>564</v>
      </c>
    </row>
    <row r="59" spans="1:4" x14ac:dyDescent="0.2">
      <c r="A59" s="1" t="s">
        <v>66</v>
      </c>
      <c r="B59" s="1" t="s">
        <v>22</v>
      </c>
      <c r="C59" s="1" t="s">
        <v>564</v>
      </c>
      <c r="D59" s="1" t="s">
        <v>564</v>
      </c>
    </row>
    <row r="60" spans="1:4" x14ac:dyDescent="0.2">
      <c r="A60" s="1" t="s">
        <v>67</v>
      </c>
      <c r="B60" s="1" t="s">
        <v>22</v>
      </c>
      <c r="C60" s="1" t="s">
        <v>564</v>
      </c>
      <c r="D60" s="1" t="s">
        <v>564</v>
      </c>
    </row>
    <row r="61" spans="1:4" x14ac:dyDescent="0.2">
      <c r="A61" s="1" t="s">
        <v>68</v>
      </c>
      <c r="B61" s="1" t="s">
        <v>22</v>
      </c>
      <c r="C61" s="1" t="s">
        <v>564</v>
      </c>
      <c r="D61" s="1" t="s">
        <v>564</v>
      </c>
    </row>
    <row r="62" spans="1:4" x14ac:dyDescent="0.2">
      <c r="A62" s="1" t="s">
        <v>69</v>
      </c>
      <c r="B62" s="1" t="s">
        <v>22</v>
      </c>
      <c r="C62" s="1" t="s">
        <v>564</v>
      </c>
      <c r="D62" s="1" t="s">
        <v>564</v>
      </c>
    </row>
    <row r="63" spans="1:4" x14ac:dyDescent="0.2">
      <c r="A63" s="1" t="s">
        <v>70</v>
      </c>
      <c r="B63" s="1" t="s">
        <v>22</v>
      </c>
      <c r="C63" s="1" t="s">
        <v>564</v>
      </c>
      <c r="D63" s="1" t="s">
        <v>564</v>
      </c>
    </row>
    <row r="64" spans="1:4" x14ac:dyDescent="0.2">
      <c r="A64" s="1" t="s">
        <v>71</v>
      </c>
      <c r="B64" s="1" t="s">
        <v>22</v>
      </c>
      <c r="C64" s="1" t="s">
        <v>564</v>
      </c>
      <c r="D64" s="1" t="s">
        <v>564</v>
      </c>
    </row>
    <row r="65" spans="1:4" x14ac:dyDescent="0.2">
      <c r="A65" s="1" t="s">
        <v>72</v>
      </c>
      <c r="B65" s="1" t="s">
        <v>22</v>
      </c>
      <c r="C65" s="1" t="s">
        <v>564</v>
      </c>
      <c r="D65" s="1" t="s">
        <v>564</v>
      </c>
    </row>
    <row r="66" spans="1:4" x14ac:dyDescent="0.2">
      <c r="A66" s="1" t="s">
        <v>73</v>
      </c>
      <c r="B66" s="1" t="s">
        <v>22</v>
      </c>
      <c r="C66" s="1" t="s">
        <v>564</v>
      </c>
      <c r="D66" s="1" t="s">
        <v>564</v>
      </c>
    </row>
    <row r="67" spans="1:4" x14ac:dyDescent="0.2">
      <c r="A67" s="1" t="s">
        <v>74</v>
      </c>
      <c r="B67" s="1" t="s">
        <v>75</v>
      </c>
      <c r="C67" s="1" t="s">
        <v>564</v>
      </c>
      <c r="D67" s="1" t="s">
        <v>564</v>
      </c>
    </row>
    <row r="68" spans="1:4" x14ac:dyDescent="0.2">
      <c r="A68" s="1" t="s">
        <v>7</v>
      </c>
      <c r="B68" s="1" t="s">
        <v>76</v>
      </c>
      <c r="C68" s="1" t="s">
        <v>564</v>
      </c>
      <c r="D68" s="1" t="s">
        <v>564</v>
      </c>
    </row>
    <row r="69" spans="1:4" x14ac:dyDescent="0.2">
      <c r="A69" s="1" t="s">
        <v>9</v>
      </c>
      <c r="B69" s="1" t="s">
        <v>76</v>
      </c>
      <c r="C69" s="1" t="s">
        <v>564</v>
      </c>
      <c r="D69" s="1" t="s">
        <v>564</v>
      </c>
    </row>
    <row r="70" spans="1:4" x14ac:dyDescent="0.2">
      <c r="A70" s="1" t="s">
        <v>10</v>
      </c>
      <c r="B70" s="1" t="s">
        <v>76</v>
      </c>
      <c r="C70" s="1" t="s">
        <v>564</v>
      </c>
      <c r="D70" s="1" t="s">
        <v>564</v>
      </c>
    </row>
    <row r="71" spans="1:4" x14ac:dyDescent="0.2">
      <c r="A71" s="1" t="s">
        <v>11</v>
      </c>
      <c r="B71" s="1" t="s">
        <v>76</v>
      </c>
      <c r="C71" s="1" t="s">
        <v>564</v>
      </c>
      <c r="D71" s="1" t="s">
        <v>564</v>
      </c>
    </row>
    <row r="72" spans="1:4" x14ac:dyDescent="0.2">
      <c r="A72" s="1" t="s">
        <v>12</v>
      </c>
      <c r="B72" s="1" t="s">
        <v>76</v>
      </c>
      <c r="C72" s="1" t="s">
        <v>564</v>
      </c>
      <c r="D72" s="1" t="s">
        <v>564</v>
      </c>
    </row>
    <row r="73" spans="1:4" x14ac:dyDescent="0.2">
      <c r="A73" s="1" t="s">
        <v>13</v>
      </c>
      <c r="B73" s="1" t="s">
        <v>76</v>
      </c>
      <c r="C73" s="1" t="s">
        <v>564</v>
      </c>
      <c r="D73" s="1" t="s">
        <v>564</v>
      </c>
    </row>
    <row r="74" spans="1:4" x14ac:dyDescent="0.2">
      <c r="A74" s="1" t="s">
        <v>14</v>
      </c>
      <c r="B74" s="1" t="s">
        <v>76</v>
      </c>
      <c r="C74" s="1" t="s">
        <v>564</v>
      </c>
      <c r="D74" s="1" t="s">
        <v>564</v>
      </c>
    </row>
    <row r="75" spans="1:4" x14ac:dyDescent="0.2">
      <c r="A75" s="1" t="s">
        <v>15</v>
      </c>
      <c r="B75" s="1" t="s">
        <v>76</v>
      </c>
      <c r="C75" s="1" t="s">
        <v>564</v>
      </c>
      <c r="D75" s="1" t="s">
        <v>564</v>
      </c>
    </row>
    <row r="76" spans="1:4" x14ac:dyDescent="0.2">
      <c r="A76" s="1" t="s">
        <v>16</v>
      </c>
      <c r="B76" s="1" t="s">
        <v>76</v>
      </c>
      <c r="C76" s="1" t="s">
        <v>564</v>
      </c>
      <c r="D76" s="1" t="s">
        <v>564</v>
      </c>
    </row>
    <row r="77" spans="1:4" x14ac:dyDescent="0.2">
      <c r="A77" s="1" t="s">
        <v>17</v>
      </c>
      <c r="B77" s="1" t="s">
        <v>76</v>
      </c>
      <c r="C77" s="1" t="s">
        <v>564</v>
      </c>
      <c r="D77" s="1" t="s">
        <v>564</v>
      </c>
    </row>
    <row r="78" spans="1:4" x14ac:dyDescent="0.2">
      <c r="A78" s="1" t="s">
        <v>18</v>
      </c>
      <c r="B78" s="1" t="s">
        <v>76</v>
      </c>
      <c r="C78" s="1" t="s">
        <v>564</v>
      </c>
      <c r="D78" s="1" t="s">
        <v>564</v>
      </c>
    </row>
    <row r="79" spans="1:4" x14ac:dyDescent="0.2">
      <c r="A79" s="1" t="s">
        <v>19</v>
      </c>
      <c r="B79" s="1" t="s">
        <v>76</v>
      </c>
      <c r="C79" s="1" t="s">
        <v>564</v>
      </c>
      <c r="D79" s="1" t="s">
        <v>564</v>
      </c>
    </row>
    <row r="80" spans="1:4" x14ac:dyDescent="0.2">
      <c r="A80" s="1" t="s">
        <v>20</v>
      </c>
      <c r="B80" s="1" t="s">
        <v>76</v>
      </c>
      <c r="C80" s="1" t="s">
        <v>564</v>
      </c>
      <c r="D80" s="1" t="s">
        <v>564</v>
      </c>
    </row>
    <row r="81" spans="1:4" x14ac:dyDescent="0.2">
      <c r="A81" s="1" t="s">
        <v>77</v>
      </c>
      <c r="B81" s="1" t="s">
        <v>78</v>
      </c>
      <c r="C81" s="1" t="s">
        <v>564</v>
      </c>
      <c r="D81" s="1" t="s">
        <v>564</v>
      </c>
    </row>
    <row r="82" spans="1:4" x14ac:dyDescent="0.2">
      <c r="A82" s="1" t="s">
        <v>79</v>
      </c>
      <c r="B82" s="1" t="s">
        <v>78</v>
      </c>
      <c r="C82" s="1" t="s">
        <v>564</v>
      </c>
      <c r="D82" s="1" t="s">
        <v>564</v>
      </c>
    </row>
    <row r="83" spans="1:4" x14ac:dyDescent="0.2">
      <c r="A83" s="1" t="s">
        <v>80</v>
      </c>
      <c r="B83" s="1" t="s">
        <v>78</v>
      </c>
      <c r="C83" s="1" t="s">
        <v>564</v>
      </c>
      <c r="D83" s="1" t="s">
        <v>564</v>
      </c>
    </row>
    <row r="84" spans="1:4" x14ac:dyDescent="0.2">
      <c r="A84" s="1" t="s">
        <v>81</v>
      </c>
      <c r="B84" s="1" t="s">
        <v>78</v>
      </c>
      <c r="C84" s="1" t="s">
        <v>564</v>
      </c>
      <c r="D84" s="1" t="s">
        <v>564</v>
      </c>
    </row>
    <row r="85" spans="1:4" x14ac:dyDescent="0.2">
      <c r="A85" s="1" t="s">
        <v>82</v>
      </c>
      <c r="B85" s="1" t="s">
        <v>78</v>
      </c>
      <c r="C85" s="1" t="s">
        <v>564</v>
      </c>
      <c r="D85" s="1" t="s">
        <v>564</v>
      </c>
    </row>
    <row r="86" spans="1:4" x14ac:dyDescent="0.2">
      <c r="A86" s="1" t="s">
        <v>83</v>
      </c>
      <c r="B86" s="1" t="s">
        <v>78</v>
      </c>
      <c r="C86" s="1" t="s">
        <v>564</v>
      </c>
      <c r="D86" s="1" t="s">
        <v>564</v>
      </c>
    </row>
    <row r="87" spans="1:4" x14ac:dyDescent="0.2">
      <c r="A87" s="1" t="s">
        <v>7</v>
      </c>
      <c r="B87" s="1" t="s">
        <v>84</v>
      </c>
      <c r="C87" s="1" t="s">
        <v>564</v>
      </c>
      <c r="D87" s="1" t="s">
        <v>564</v>
      </c>
    </row>
    <row r="88" spans="1:4" x14ac:dyDescent="0.2">
      <c r="A88" s="1" t="s">
        <v>9</v>
      </c>
      <c r="B88" s="1" t="s">
        <v>84</v>
      </c>
      <c r="C88" s="1" t="s">
        <v>564</v>
      </c>
      <c r="D88" s="1" t="s">
        <v>564</v>
      </c>
    </row>
    <row r="89" spans="1:4" x14ac:dyDescent="0.2">
      <c r="A89" s="1" t="s">
        <v>10</v>
      </c>
      <c r="B89" s="1" t="s">
        <v>84</v>
      </c>
      <c r="C89" s="1" t="s">
        <v>564</v>
      </c>
      <c r="D89" s="1" t="s">
        <v>564</v>
      </c>
    </row>
    <row r="90" spans="1:4" x14ac:dyDescent="0.2">
      <c r="A90" s="1" t="s">
        <v>11</v>
      </c>
      <c r="B90" s="1" t="s">
        <v>84</v>
      </c>
      <c r="C90" s="1" t="s">
        <v>564</v>
      </c>
      <c r="D90" s="1" t="s">
        <v>564</v>
      </c>
    </row>
    <row r="91" spans="1:4" x14ac:dyDescent="0.2">
      <c r="A91" s="1" t="s">
        <v>12</v>
      </c>
      <c r="B91" s="1" t="s">
        <v>84</v>
      </c>
      <c r="C91" s="1" t="s">
        <v>564</v>
      </c>
      <c r="D91" s="1" t="s">
        <v>564</v>
      </c>
    </row>
    <row r="92" spans="1:4" x14ac:dyDescent="0.2">
      <c r="A92" s="1" t="s">
        <v>13</v>
      </c>
      <c r="B92" s="1" t="s">
        <v>84</v>
      </c>
      <c r="C92" s="1" t="s">
        <v>564</v>
      </c>
      <c r="D92" s="1" t="s">
        <v>564</v>
      </c>
    </row>
    <row r="93" spans="1:4" x14ac:dyDescent="0.2">
      <c r="A93" s="1" t="s">
        <v>14</v>
      </c>
      <c r="B93" s="1" t="s">
        <v>84</v>
      </c>
      <c r="C93" s="1" t="s">
        <v>564</v>
      </c>
      <c r="D93" s="1" t="s">
        <v>564</v>
      </c>
    </row>
    <row r="94" spans="1:4" x14ac:dyDescent="0.2">
      <c r="A94" s="1" t="s">
        <v>15</v>
      </c>
      <c r="B94" s="1" t="s">
        <v>84</v>
      </c>
      <c r="C94" s="1" t="s">
        <v>564</v>
      </c>
      <c r="D94" s="1" t="s">
        <v>564</v>
      </c>
    </row>
    <row r="95" spans="1:4" x14ac:dyDescent="0.2">
      <c r="A95" s="1" t="s">
        <v>16</v>
      </c>
      <c r="B95" s="1" t="s">
        <v>84</v>
      </c>
      <c r="C95" s="1" t="s">
        <v>564</v>
      </c>
      <c r="D95" s="1" t="s">
        <v>564</v>
      </c>
    </row>
    <row r="96" spans="1:4" x14ac:dyDescent="0.2">
      <c r="A96" s="1" t="s">
        <v>17</v>
      </c>
      <c r="B96" s="1" t="s">
        <v>84</v>
      </c>
      <c r="C96" s="1" t="s">
        <v>564</v>
      </c>
      <c r="D96" s="1" t="s">
        <v>564</v>
      </c>
    </row>
    <row r="97" spans="1:4" x14ac:dyDescent="0.2">
      <c r="A97" s="1" t="s">
        <v>18</v>
      </c>
      <c r="B97" s="1" t="s">
        <v>84</v>
      </c>
      <c r="C97" s="1" t="s">
        <v>564</v>
      </c>
      <c r="D97" s="1" t="s">
        <v>564</v>
      </c>
    </row>
    <row r="98" spans="1:4" x14ac:dyDescent="0.2">
      <c r="A98" s="1" t="s">
        <v>19</v>
      </c>
      <c r="B98" s="1" t="s">
        <v>84</v>
      </c>
      <c r="C98" s="1" t="s">
        <v>564</v>
      </c>
      <c r="D98" s="1" t="s">
        <v>564</v>
      </c>
    </row>
    <row r="99" spans="1:4" x14ac:dyDescent="0.2">
      <c r="A99" s="1" t="s">
        <v>20</v>
      </c>
      <c r="B99" s="1" t="s">
        <v>84</v>
      </c>
      <c r="C99" s="1" t="s">
        <v>564</v>
      </c>
      <c r="D99" s="1" t="s">
        <v>564</v>
      </c>
    </row>
    <row r="100" spans="1:4" x14ac:dyDescent="0.2">
      <c r="A100" s="1" t="s">
        <v>85</v>
      </c>
      <c r="B100" s="1" t="s">
        <v>86</v>
      </c>
      <c r="C100" s="1" t="s">
        <v>564</v>
      </c>
      <c r="D100" s="1" t="s">
        <v>564</v>
      </c>
    </row>
    <row r="101" spans="1:4" x14ac:dyDescent="0.2">
      <c r="A101" s="1" t="s">
        <v>87</v>
      </c>
      <c r="B101" s="1" t="s">
        <v>86</v>
      </c>
      <c r="C101" s="1" t="s">
        <v>564</v>
      </c>
      <c r="D101" s="1" t="s">
        <v>564</v>
      </c>
    </row>
    <row r="102" spans="1:4" x14ac:dyDescent="0.2">
      <c r="A102" s="1" t="s">
        <v>88</v>
      </c>
      <c r="B102" s="1" t="s">
        <v>86</v>
      </c>
      <c r="C102" s="1" t="s">
        <v>564</v>
      </c>
      <c r="D102" s="1" t="s">
        <v>564</v>
      </c>
    </row>
    <row r="103" spans="1:4" x14ac:dyDescent="0.2">
      <c r="A103" s="1" t="s">
        <v>89</v>
      </c>
      <c r="B103" s="1" t="s">
        <v>86</v>
      </c>
      <c r="C103" s="1" t="s">
        <v>564</v>
      </c>
      <c r="D103" s="1" t="s">
        <v>564</v>
      </c>
    </row>
    <row r="104" spans="1:4" x14ac:dyDescent="0.2">
      <c r="A104" s="1" t="s">
        <v>90</v>
      </c>
      <c r="B104" s="1" t="s">
        <v>86</v>
      </c>
      <c r="C104" s="1" t="s">
        <v>564</v>
      </c>
      <c r="D104" s="1" t="s">
        <v>564</v>
      </c>
    </row>
    <row r="105" spans="1:4" x14ac:dyDescent="0.2">
      <c r="A105" s="1" t="s">
        <v>91</v>
      </c>
      <c r="B105" s="1" t="s">
        <v>86</v>
      </c>
      <c r="C105" s="1" t="s">
        <v>564</v>
      </c>
      <c r="D105" s="1" t="s">
        <v>564</v>
      </c>
    </row>
    <row r="106" spans="1:4" x14ac:dyDescent="0.2">
      <c r="A106" s="1" t="s">
        <v>92</v>
      </c>
      <c r="B106" s="1" t="s">
        <v>86</v>
      </c>
      <c r="C106" s="1" t="s">
        <v>564</v>
      </c>
      <c r="D106" s="1" t="s">
        <v>564</v>
      </c>
    </row>
    <row r="107" spans="1:4" x14ac:dyDescent="0.2">
      <c r="A107" s="1" t="s">
        <v>93</v>
      </c>
      <c r="B107" s="1" t="s">
        <v>86</v>
      </c>
      <c r="C107" s="1" t="s">
        <v>564</v>
      </c>
      <c r="D107" s="1" t="s">
        <v>564</v>
      </c>
    </row>
    <row r="108" spans="1:4" x14ac:dyDescent="0.2">
      <c r="A108" s="1" t="s">
        <v>94</v>
      </c>
      <c r="B108" s="1" t="s">
        <v>86</v>
      </c>
      <c r="C108" s="1" t="s">
        <v>564</v>
      </c>
      <c r="D108" s="1" t="s">
        <v>564</v>
      </c>
    </row>
    <row r="109" spans="1:4" x14ac:dyDescent="0.2">
      <c r="A109" s="1" t="s">
        <v>95</v>
      </c>
      <c r="B109" s="1" t="s">
        <v>86</v>
      </c>
      <c r="C109" s="1" t="s">
        <v>564</v>
      </c>
      <c r="D109" s="1" t="s">
        <v>564</v>
      </c>
    </row>
    <row r="110" spans="1:4" x14ac:dyDescent="0.2">
      <c r="A110" s="1" t="s">
        <v>96</v>
      </c>
      <c r="B110" s="1" t="s">
        <v>86</v>
      </c>
      <c r="C110" s="1" t="s">
        <v>564</v>
      </c>
      <c r="D110" s="1" t="s">
        <v>564</v>
      </c>
    </row>
    <row r="111" spans="1:4" x14ac:dyDescent="0.2">
      <c r="A111" s="1" t="s">
        <v>97</v>
      </c>
      <c r="B111" s="1" t="s">
        <v>86</v>
      </c>
      <c r="C111" s="1" t="s">
        <v>564</v>
      </c>
      <c r="D111" s="1" t="s">
        <v>564</v>
      </c>
    </row>
    <row r="112" spans="1:4" x14ac:dyDescent="0.2">
      <c r="A112" s="1" t="s">
        <v>98</v>
      </c>
      <c r="B112" s="1" t="s">
        <v>99</v>
      </c>
      <c r="C112" s="1" t="s">
        <v>564</v>
      </c>
      <c r="D112" s="1" t="s">
        <v>564</v>
      </c>
    </row>
    <row r="113" spans="1:4" x14ac:dyDescent="0.2">
      <c r="A113" s="1" t="s">
        <v>100</v>
      </c>
      <c r="B113" s="1" t="s">
        <v>99</v>
      </c>
      <c r="C113" s="1" t="s">
        <v>564</v>
      </c>
      <c r="D113" s="1" t="s">
        <v>564</v>
      </c>
    </row>
    <row r="114" spans="1:4" x14ac:dyDescent="0.2">
      <c r="A114" s="1" t="s">
        <v>101</v>
      </c>
      <c r="B114" s="1" t="s">
        <v>102</v>
      </c>
      <c r="C114" s="1" t="s">
        <v>564</v>
      </c>
      <c r="D114" s="1" t="s">
        <v>564</v>
      </c>
    </row>
    <row r="115" spans="1:4" x14ac:dyDescent="0.2">
      <c r="A115" s="1" t="s">
        <v>103</v>
      </c>
      <c r="B115" s="1" t="s">
        <v>102</v>
      </c>
      <c r="C115" s="1" t="s">
        <v>564</v>
      </c>
      <c r="D115" s="1" t="s">
        <v>564</v>
      </c>
    </row>
    <row r="116" spans="1:4" x14ac:dyDescent="0.2">
      <c r="A116" s="1" t="s">
        <v>104</v>
      </c>
      <c r="B116" s="1" t="s">
        <v>102</v>
      </c>
      <c r="C116" s="1" t="s">
        <v>564</v>
      </c>
      <c r="D116" s="1" t="s">
        <v>564</v>
      </c>
    </row>
    <row r="117" spans="1:4" x14ac:dyDescent="0.2">
      <c r="A117" s="1" t="s">
        <v>105</v>
      </c>
      <c r="B117" s="1" t="s">
        <v>102</v>
      </c>
      <c r="C117" s="1" t="s">
        <v>564</v>
      </c>
      <c r="D117" s="1" t="s">
        <v>564</v>
      </c>
    </row>
    <row r="118" spans="1:4" x14ac:dyDescent="0.2">
      <c r="A118" s="1" t="s">
        <v>106</v>
      </c>
      <c r="B118" s="1" t="s">
        <v>102</v>
      </c>
      <c r="C118" s="1" t="s">
        <v>564</v>
      </c>
      <c r="D118" s="1" t="s">
        <v>564</v>
      </c>
    </row>
    <row r="119" spans="1:4" x14ac:dyDescent="0.2">
      <c r="A119" s="1" t="s">
        <v>107</v>
      </c>
      <c r="B119" s="1" t="s">
        <v>108</v>
      </c>
      <c r="C119" s="1" t="s">
        <v>564</v>
      </c>
      <c r="D119" s="1" t="s">
        <v>564</v>
      </c>
    </row>
    <row r="120" spans="1:4" x14ac:dyDescent="0.2">
      <c r="A120" s="1" t="s">
        <v>109</v>
      </c>
      <c r="B120" s="1" t="s">
        <v>108</v>
      </c>
      <c r="C120" s="1" t="s">
        <v>564</v>
      </c>
      <c r="D120" s="1" t="s">
        <v>564</v>
      </c>
    </row>
    <row r="121" spans="1:4" x14ac:dyDescent="0.2">
      <c r="A121" s="1" t="s">
        <v>110</v>
      </c>
      <c r="B121" s="1" t="s">
        <v>108</v>
      </c>
      <c r="C121" s="1" t="s">
        <v>564</v>
      </c>
      <c r="D121" s="1" t="s">
        <v>564</v>
      </c>
    </row>
    <row r="122" spans="1:4" x14ac:dyDescent="0.2">
      <c r="A122" s="1" t="s">
        <v>111</v>
      </c>
      <c r="B122" s="1" t="s">
        <v>108</v>
      </c>
      <c r="C122" s="1" t="s">
        <v>564</v>
      </c>
      <c r="D122" s="1" t="s">
        <v>564</v>
      </c>
    </row>
    <row r="123" spans="1:4" x14ac:dyDescent="0.2">
      <c r="A123" s="1" t="s">
        <v>112</v>
      </c>
      <c r="B123" s="1" t="s">
        <v>108</v>
      </c>
      <c r="C123" s="1" t="s">
        <v>564</v>
      </c>
      <c r="D123" s="1" t="s">
        <v>564</v>
      </c>
    </row>
    <row r="124" spans="1:4" x14ac:dyDescent="0.2">
      <c r="A124" s="1" t="s">
        <v>113</v>
      </c>
      <c r="B124" s="1" t="s">
        <v>108</v>
      </c>
      <c r="C124" s="1" t="s">
        <v>564</v>
      </c>
      <c r="D124" s="1" t="s">
        <v>564</v>
      </c>
    </row>
    <row r="125" spans="1:4" x14ac:dyDescent="0.2">
      <c r="A125" s="1" t="s">
        <v>114</v>
      </c>
      <c r="B125" s="1" t="s">
        <v>108</v>
      </c>
      <c r="C125" s="1" t="s">
        <v>564</v>
      </c>
      <c r="D125" s="1" t="s">
        <v>564</v>
      </c>
    </row>
    <row r="126" spans="1:4" x14ac:dyDescent="0.2">
      <c r="A126" s="1" t="s">
        <v>115</v>
      </c>
      <c r="B126" s="1" t="s">
        <v>108</v>
      </c>
      <c r="C126" s="1" t="s">
        <v>564</v>
      </c>
      <c r="D126" s="1" t="s">
        <v>564</v>
      </c>
    </row>
    <row r="127" spans="1:4" x14ac:dyDescent="0.2">
      <c r="A127" s="1" t="s">
        <v>116</v>
      </c>
      <c r="B127" s="1" t="s">
        <v>108</v>
      </c>
      <c r="C127" s="1" t="s">
        <v>564</v>
      </c>
      <c r="D127" s="1" t="s">
        <v>564</v>
      </c>
    </row>
    <row r="128" spans="1:4" x14ac:dyDescent="0.2">
      <c r="A128" s="1" t="s">
        <v>117</v>
      </c>
      <c r="B128" s="1" t="s">
        <v>108</v>
      </c>
      <c r="C128" s="1" t="s">
        <v>564</v>
      </c>
      <c r="D128" s="1" t="s">
        <v>564</v>
      </c>
    </row>
    <row r="129" spans="1:4" x14ac:dyDescent="0.2">
      <c r="A129" s="1" t="s">
        <v>118</v>
      </c>
      <c r="B129" s="1" t="s">
        <v>119</v>
      </c>
      <c r="C129" s="1" t="s">
        <v>564</v>
      </c>
      <c r="D129" s="1" t="s">
        <v>564</v>
      </c>
    </row>
    <row r="130" spans="1:4" x14ac:dyDescent="0.2">
      <c r="A130" s="1" t="s">
        <v>120</v>
      </c>
      <c r="B130" s="1" t="s">
        <v>119</v>
      </c>
      <c r="C130" s="1" t="s">
        <v>564</v>
      </c>
      <c r="D130" s="1" t="s">
        <v>564</v>
      </c>
    </row>
    <row r="131" spans="1:4" x14ac:dyDescent="0.2">
      <c r="A131" s="1" t="s">
        <v>121</v>
      </c>
      <c r="B131" s="1" t="s">
        <v>119</v>
      </c>
      <c r="C131" s="1" t="s">
        <v>564</v>
      </c>
      <c r="D131" s="1" t="s">
        <v>564</v>
      </c>
    </row>
    <row r="132" spans="1:4" x14ac:dyDescent="0.2">
      <c r="A132" s="1" t="s">
        <v>122</v>
      </c>
      <c r="B132" s="1" t="s">
        <v>119</v>
      </c>
      <c r="C132" s="1" t="s">
        <v>564</v>
      </c>
      <c r="D132" s="1" t="s">
        <v>564</v>
      </c>
    </row>
    <row r="133" spans="1:4" x14ac:dyDescent="0.2">
      <c r="A133" s="1" t="s">
        <v>123</v>
      </c>
      <c r="B133" s="1" t="s">
        <v>119</v>
      </c>
      <c r="C133" s="1" t="s">
        <v>564</v>
      </c>
      <c r="D133" s="1" t="s">
        <v>564</v>
      </c>
    </row>
    <row r="134" spans="1:4" x14ac:dyDescent="0.2">
      <c r="A134" s="1" t="s">
        <v>124</v>
      </c>
      <c r="B134" s="1" t="s">
        <v>119</v>
      </c>
      <c r="C134" s="1" t="s">
        <v>564</v>
      </c>
      <c r="D134" s="1" t="s">
        <v>564</v>
      </c>
    </row>
    <row r="135" spans="1:4" x14ac:dyDescent="0.2">
      <c r="A135" s="1" t="s">
        <v>125</v>
      </c>
      <c r="B135" s="1" t="s">
        <v>119</v>
      </c>
      <c r="C135" s="1" t="s">
        <v>564</v>
      </c>
      <c r="D135" s="1" t="s">
        <v>564</v>
      </c>
    </row>
    <row r="136" spans="1:4" x14ac:dyDescent="0.2">
      <c r="A136" s="1" t="s">
        <v>126</v>
      </c>
      <c r="B136" s="1" t="s">
        <v>119</v>
      </c>
      <c r="C136" s="1" t="s">
        <v>564</v>
      </c>
      <c r="D136" s="1" t="s">
        <v>564</v>
      </c>
    </row>
    <row r="137" spans="1:4" x14ac:dyDescent="0.2">
      <c r="A137" s="1" t="s">
        <v>127</v>
      </c>
      <c r="B137" s="1" t="s">
        <v>119</v>
      </c>
      <c r="C137" s="1" t="s">
        <v>564</v>
      </c>
      <c r="D137" s="1" t="s">
        <v>564</v>
      </c>
    </row>
    <row r="138" spans="1:4" x14ac:dyDescent="0.2">
      <c r="A138" s="1" t="s">
        <v>128</v>
      </c>
      <c r="B138" s="1" t="s">
        <v>119</v>
      </c>
      <c r="C138" s="1" t="s">
        <v>564</v>
      </c>
      <c r="D138" s="1" t="s">
        <v>564</v>
      </c>
    </row>
    <row r="139" spans="1:4" x14ac:dyDescent="0.2">
      <c r="A139" s="1" t="s">
        <v>129</v>
      </c>
      <c r="B139" s="1" t="s">
        <v>119</v>
      </c>
      <c r="C139" s="1" t="s">
        <v>564</v>
      </c>
      <c r="D139" s="1" t="s">
        <v>564</v>
      </c>
    </row>
    <row r="140" spans="1:4" x14ac:dyDescent="0.2">
      <c r="A140" s="1" t="s">
        <v>130</v>
      </c>
      <c r="B140" s="1" t="s">
        <v>131</v>
      </c>
      <c r="C140" s="1" t="s">
        <v>564</v>
      </c>
      <c r="D140" s="1" t="s">
        <v>564</v>
      </c>
    </row>
    <row r="141" spans="1:4" x14ac:dyDescent="0.2">
      <c r="A141" s="1" t="s">
        <v>132</v>
      </c>
      <c r="B141" s="1" t="s">
        <v>131</v>
      </c>
      <c r="C141" s="1" t="s">
        <v>564</v>
      </c>
      <c r="D141" s="1" t="s">
        <v>564</v>
      </c>
    </row>
    <row r="142" spans="1:4" x14ac:dyDescent="0.2">
      <c r="A142" s="1" t="s">
        <v>133</v>
      </c>
      <c r="B142" s="1" t="s">
        <v>131</v>
      </c>
      <c r="C142" s="1" t="s">
        <v>564</v>
      </c>
      <c r="D142" s="1" t="s">
        <v>564</v>
      </c>
    </row>
    <row r="143" spans="1:4" x14ac:dyDescent="0.2">
      <c r="A143" s="1" t="s">
        <v>134</v>
      </c>
      <c r="B143" s="1" t="s">
        <v>131</v>
      </c>
      <c r="C143" s="1" t="s">
        <v>564</v>
      </c>
      <c r="D143" s="1" t="s">
        <v>564</v>
      </c>
    </row>
    <row r="144" spans="1:4" x14ac:dyDescent="0.2">
      <c r="A144" s="1" t="s">
        <v>135</v>
      </c>
      <c r="B144" s="1" t="s">
        <v>131</v>
      </c>
      <c r="C144" s="1" t="s">
        <v>564</v>
      </c>
      <c r="D144" s="1" t="s">
        <v>564</v>
      </c>
    </row>
    <row r="145" spans="1:4" x14ac:dyDescent="0.2">
      <c r="A145" s="1" t="s">
        <v>136</v>
      </c>
      <c r="B145" s="1" t="s">
        <v>131</v>
      </c>
      <c r="C145" s="1" t="s">
        <v>564</v>
      </c>
      <c r="D145" s="1" t="s">
        <v>564</v>
      </c>
    </row>
    <row r="146" spans="1:4" x14ac:dyDescent="0.2">
      <c r="A146" s="1" t="s">
        <v>137</v>
      </c>
      <c r="B146" s="1" t="s">
        <v>138</v>
      </c>
      <c r="C146" s="1" t="s">
        <v>564</v>
      </c>
      <c r="D146" s="1" t="s">
        <v>564</v>
      </c>
    </row>
    <row r="147" spans="1:4" x14ac:dyDescent="0.2">
      <c r="A147" s="1" t="s">
        <v>139</v>
      </c>
      <c r="B147" s="1" t="s">
        <v>138</v>
      </c>
      <c r="C147" s="1" t="s">
        <v>564</v>
      </c>
      <c r="D147" s="1" t="s">
        <v>564</v>
      </c>
    </row>
    <row r="148" spans="1:4" x14ac:dyDescent="0.2">
      <c r="A148" s="1" t="s">
        <v>140</v>
      </c>
      <c r="B148" s="1" t="s">
        <v>138</v>
      </c>
      <c r="C148" s="1" t="s">
        <v>564</v>
      </c>
      <c r="D148" s="1" t="s">
        <v>564</v>
      </c>
    </row>
    <row r="149" spans="1:4" x14ac:dyDescent="0.2">
      <c r="A149" s="1" t="s">
        <v>141</v>
      </c>
      <c r="B149" s="1" t="s">
        <v>138</v>
      </c>
      <c r="C149" s="1" t="s">
        <v>564</v>
      </c>
      <c r="D149" s="1" t="s">
        <v>564</v>
      </c>
    </row>
    <row r="150" spans="1:4" x14ac:dyDescent="0.2">
      <c r="A150" s="1" t="s">
        <v>142</v>
      </c>
      <c r="B150" s="1" t="s">
        <v>138</v>
      </c>
      <c r="C150" s="1" t="s">
        <v>564</v>
      </c>
      <c r="D150" s="1" t="s">
        <v>564</v>
      </c>
    </row>
    <row r="151" spans="1:4" x14ac:dyDescent="0.2">
      <c r="A151" s="1" t="s">
        <v>143</v>
      </c>
      <c r="B151" s="1" t="s">
        <v>138</v>
      </c>
      <c r="C151" s="1" t="s">
        <v>564</v>
      </c>
      <c r="D151" s="1" t="s">
        <v>564</v>
      </c>
    </row>
    <row r="152" spans="1:4" x14ac:dyDescent="0.2">
      <c r="A152" s="1" t="s">
        <v>144</v>
      </c>
      <c r="B152" s="1" t="s">
        <v>145</v>
      </c>
      <c r="C152" s="1" t="s">
        <v>564</v>
      </c>
      <c r="D152" s="1" t="s">
        <v>564</v>
      </c>
    </row>
    <row r="153" spans="1:4" x14ac:dyDescent="0.2">
      <c r="A153" s="1" t="s">
        <v>146</v>
      </c>
      <c r="B153" s="1" t="s">
        <v>145</v>
      </c>
      <c r="C153" s="1" t="s">
        <v>564</v>
      </c>
      <c r="D153" s="1" t="s">
        <v>564</v>
      </c>
    </row>
    <row r="154" spans="1:4" x14ac:dyDescent="0.2">
      <c r="A154" s="1" t="s">
        <v>147</v>
      </c>
      <c r="B154" s="1" t="s">
        <v>145</v>
      </c>
      <c r="C154" s="1" t="s">
        <v>564</v>
      </c>
      <c r="D154" s="1" t="s">
        <v>564</v>
      </c>
    </row>
    <row r="155" spans="1:4" x14ac:dyDescent="0.2">
      <c r="A155" s="1" t="s">
        <v>148</v>
      </c>
      <c r="B155" s="1" t="s">
        <v>145</v>
      </c>
      <c r="C155" s="1" t="s">
        <v>564</v>
      </c>
      <c r="D155" s="1" t="s">
        <v>564</v>
      </c>
    </row>
    <row r="156" spans="1:4" x14ac:dyDescent="0.2">
      <c r="A156" s="1" t="s">
        <v>149</v>
      </c>
      <c r="B156" s="1" t="s">
        <v>145</v>
      </c>
      <c r="C156" s="1" t="s">
        <v>564</v>
      </c>
      <c r="D156" s="1" t="s">
        <v>564</v>
      </c>
    </row>
    <row r="157" spans="1:4" x14ac:dyDescent="0.2">
      <c r="A157" s="1" t="s">
        <v>150</v>
      </c>
      <c r="B157" s="1" t="s">
        <v>145</v>
      </c>
      <c r="C157" s="1" t="s">
        <v>564</v>
      </c>
      <c r="D157" s="1" t="s">
        <v>564</v>
      </c>
    </row>
    <row r="158" spans="1:4" x14ac:dyDescent="0.2">
      <c r="A158" s="1" t="s">
        <v>151</v>
      </c>
      <c r="B158" s="1" t="s">
        <v>145</v>
      </c>
      <c r="C158" s="1" t="s">
        <v>564</v>
      </c>
      <c r="D158" s="1" t="s">
        <v>564</v>
      </c>
    </row>
    <row r="159" spans="1:4" x14ac:dyDescent="0.2">
      <c r="A159" s="1" t="s">
        <v>152</v>
      </c>
      <c r="B159" s="1" t="s">
        <v>153</v>
      </c>
      <c r="C159" s="1" t="s">
        <v>564</v>
      </c>
      <c r="D159" s="1" t="s">
        <v>564</v>
      </c>
    </row>
    <row r="160" spans="1:4" x14ac:dyDescent="0.2">
      <c r="A160" s="1" t="s">
        <v>154</v>
      </c>
      <c r="B160" s="1" t="s">
        <v>153</v>
      </c>
      <c r="C160" s="1" t="s">
        <v>564</v>
      </c>
      <c r="D160" s="1" t="s">
        <v>564</v>
      </c>
    </row>
    <row r="161" spans="1:4" x14ac:dyDescent="0.2">
      <c r="A161" s="1" t="s">
        <v>155</v>
      </c>
      <c r="B161" s="1" t="s">
        <v>153</v>
      </c>
      <c r="C161" s="1" t="s">
        <v>564</v>
      </c>
      <c r="D161" s="1" t="s">
        <v>564</v>
      </c>
    </row>
    <row r="162" spans="1:4" x14ac:dyDescent="0.2">
      <c r="A162" s="1" t="s">
        <v>156</v>
      </c>
      <c r="B162" s="1" t="s">
        <v>153</v>
      </c>
      <c r="C162" s="1" t="s">
        <v>564</v>
      </c>
      <c r="D162" s="1" t="s">
        <v>564</v>
      </c>
    </row>
    <row r="163" spans="1:4" x14ac:dyDescent="0.2">
      <c r="A163" s="1" t="s">
        <v>157</v>
      </c>
      <c r="B163" s="1" t="s">
        <v>153</v>
      </c>
      <c r="C163" s="1" t="s">
        <v>564</v>
      </c>
      <c r="D163" s="1" t="s">
        <v>564</v>
      </c>
    </row>
    <row r="164" spans="1:4" x14ac:dyDescent="0.2">
      <c r="A164" s="1" t="s">
        <v>158</v>
      </c>
      <c r="B164" s="1" t="s">
        <v>153</v>
      </c>
      <c r="C164" s="1" t="s">
        <v>564</v>
      </c>
      <c r="D164" s="1" t="s">
        <v>564</v>
      </c>
    </row>
    <row r="165" spans="1:4" x14ac:dyDescent="0.2">
      <c r="A165" s="1" t="s">
        <v>159</v>
      </c>
      <c r="B165" s="1" t="s">
        <v>160</v>
      </c>
      <c r="C165" s="1" t="s">
        <v>564</v>
      </c>
      <c r="D165" s="1" t="s">
        <v>564</v>
      </c>
    </row>
    <row r="166" spans="1:4" x14ac:dyDescent="0.2">
      <c r="A166" s="1" t="s">
        <v>161</v>
      </c>
      <c r="B166" s="1" t="s">
        <v>162</v>
      </c>
      <c r="C166" s="1" t="s">
        <v>564</v>
      </c>
      <c r="D166" s="1" t="s">
        <v>564</v>
      </c>
    </row>
    <row r="167" spans="1:4" x14ac:dyDescent="0.2">
      <c r="A167" s="1" t="s">
        <v>163</v>
      </c>
      <c r="B167" s="1" t="s">
        <v>162</v>
      </c>
      <c r="C167" s="1" t="s">
        <v>564</v>
      </c>
      <c r="D167" s="1" t="s">
        <v>564</v>
      </c>
    </row>
    <row r="168" spans="1:4" x14ac:dyDescent="0.2">
      <c r="A168" s="1" t="s">
        <v>164</v>
      </c>
      <c r="B168" s="1" t="s">
        <v>162</v>
      </c>
      <c r="C168" s="1" t="s">
        <v>564</v>
      </c>
      <c r="D168" s="1" t="s">
        <v>564</v>
      </c>
    </row>
    <row r="169" spans="1:4" x14ac:dyDescent="0.2">
      <c r="A169" s="1" t="s">
        <v>165</v>
      </c>
      <c r="B169" s="1" t="s">
        <v>162</v>
      </c>
      <c r="C169" s="1" t="s">
        <v>564</v>
      </c>
      <c r="D169" s="1" t="s">
        <v>564</v>
      </c>
    </row>
    <row r="170" spans="1:4" x14ac:dyDescent="0.2">
      <c r="A170" s="1" t="s">
        <v>166</v>
      </c>
      <c r="B170" s="1" t="s">
        <v>162</v>
      </c>
      <c r="C170" s="1" t="s">
        <v>564</v>
      </c>
      <c r="D170" s="1" t="s">
        <v>564</v>
      </c>
    </row>
    <row r="171" spans="1:4" x14ac:dyDescent="0.2">
      <c r="A171" s="1" t="s">
        <v>167</v>
      </c>
      <c r="B171" s="1" t="s">
        <v>162</v>
      </c>
      <c r="C171" s="1" t="s">
        <v>564</v>
      </c>
      <c r="D171" s="1" t="s">
        <v>564</v>
      </c>
    </row>
    <row r="172" spans="1:4" x14ac:dyDescent="0.2">
      <c r="A172" s="1" t="s">
        <v>168</v>
      </c>
      <c r="B172" s="1" t="s">
        <v>162</v>
      </c>
      <c r="C172" s="1" t="s">
        <v>564</v>
      </c>
      <c r="D172" s="1" t="s">
        <v>564</v>
      </c>
    </row>
    <row r="173" spans="1:4" x14ac:dyDescent="0.2">
      <c r="A173" s="1" t="s">
        <v>169</v>
      </c>
      <c r="B173" s="1" t="s">
        <v>162</v>
      </c>
      <c r="C173" s="1" t="s">
        <v>564</v>
      </c>
      <c r="D173" s="1" t="s">
        <v>564</v>
      </c>
    </row>
    <row r="174" spans="1:4" x14ac:dyDescent="0.2">
      <c r="A174" s="1" t="s">
        <v>170</v>
      </c>
      <c r="B174" s="1" t="s">
        <v>162</v>
      </c>
      <c r="C174" s="1" t="s">
        <v>564</v>
      </c>
      <c r="D174" s="1" t="s">
        <v>564</v>
      </c>
    </row>
    <row r="175" spans="1:4" x14ac:dyDescent="0.2">
      <c r="A175" s="1" t="s">
        <v>171</v>
      </c>
      <c r="B175" s="1" t="s">
        <v>162</v>
      </c>
      <c r="C175" s="1" t="s">
        <v>564</v>
      </c>
      <c r="D175" s="1" t="s">
        <v>564</v>
      </c>
    </row>
    <row r="176" spans="1:4" x14ac:dyDescent="0.2">
      <c r="A176" s="1" t="s">
        <v>172</v>
      </c>
      <c r="B176" s="1" t="s">
        <v>162</v>
      </c>
      <c r="C176" s="1" t="s">
        <v>564</v>
      </c>
      <c r="D176" s="1" t="s">
        <v>564</v>
      </c>
    </row>
    <row r="177" spans="1:4" x14ac:dyDescent="0.2">
      <c r="A177" s="1" t="s">
        <v>173</v>
      </c>
      <c r="B177" s="1" t="s">
        <v>174</v>
      </c>
      <c r="C177" s="1" t="s">
        <v>564</v>
      </c>
      <c r="D177" s="1" t="s">
        <v>564</v>
      </c>
    </row>
    <row r="178" spans="1:4" x14ac:dyDescent="0.2">
      <c r="A178" s="1" t="s">
        <v>175</v>
      </c>
      <c r="B178" s="1" t="s">
        <v>176</v>
      </c>
      <c r="C178" s="1" t="s">
        <v>564</v>
      </c>
      <c r="D178" s="1" t="s">
        <v>564</v>
      </c>
    </row>
    <row r="179" spans="1:4" x14ac:dyDescent="0.2">
      <c r="A179" s="1" t="s">
        <v>177</v>
      </c>
      <c r="B179" s="1" t="s">
        <v>176</v>
      </c>
      <c r="C179" s="1" t="s">
        <v>564</v>
      </c>
      <c r="D179" s="1" t="s">
        <v>564</v>
      </c>
    </row>
    <row r="180" spans="1:4" x14ac:dyDescent="0.2">
      <c r="A180" s="1" t="s">
        <v>178</v>
      </c>
      <c r="B180" s="1" t="s">
        <v>176</v>
      </c>
      <c r="C180" s="1" t="s">
        <v>564</v>
      </c>
      <c r="D180" s="1" t="s">
        <v>564</v>
      </c>
    </row>
    <row r="181" spans="1:4" x14ac:dyDescent="0.2">
      <c r="A181" s="1" t="s">
        <v>179</v>
      </c>
      <c r="B181" s="1" t="s">
        <v>176</v>
      </c>
      <c r="C181" s="1" t="s">
        <v>564</v>
      </c>
      <c r="D181" s="1" t="s">
        <v>564</v>
      </c>
    </row>
    <row r="182" spans="1:4" x14ac:dyDescent="0.2">
      <c r="A182" s="1" t="s">
        <v>180</v>
      </c>
      <c r="B182" s="1" t="s">
        <v>176</v>
      </c>
      <c r="C182" s="1" t="s">
        <v>564</v>
      </c>
      <c r="D182" s="1" t="s">
        <v>564</v>
      </c>
    </row>
    <row r="183" spans="1:4" x14ac:dyDescent="0.2">
      <c r="A183" s="1" t="s">
        <v>181</v>
      </c>
      <c r="B183" s="1" t="s">
        <v>176</v>
      </c>
      <c r="C183" s="1" t="s">
        <v>564</v>
      </c>
      <c r="D183" s="1" t="s">
        <v>564</v>
      </c>
    </row>
    <row r="184" spans="1:4" x14ac:dyDescent="0.2">
      <c r="A184" s="1" t="s">
        <v>182</v>
      </c>
      <c r="B184" s="1" t="s">
        <v>183</v>
      </c>
      <c r="C184" s="1" t="s">
        <v>564</v>
      </c>
      <c r="D184" s="1" t="s">
        <v>564</v>
      </c>
    </row>
    <row r="185" spans="1:4" x14ac:dyDescent="0.2">
      <c r="A185" s="1" t="s">
        <v>184</v>
      </c>
      <c r="B185" s="1" t="s">
        <v>183</v>
      </c>
      <c r="C185" s="1" t="s">
        <v>564</v>
      </c>
      <c r="D185" s="1" t="s">
        <v>564</v>
      </c>
    </row>
    <row r="186" spans="1:4" x14ac:dyDescent="0.2">
      <c r="A186" s="1" t="s">
        <v>185</v>
      </c>
      <c r="B186" s="1" t="s">
        <v>183</v>
      </c>
      <c r="C186" s="1" t="s">
        <v>564</v>
      </c>
      <c r="D186" s="1" t="s">
        <v>564</v>
      </c>
    </row>
    <row r="187" spans="1:4" x14ac:dyDescent="0.2">
      <c r="A187" s="1" t="s">
        <v>186</v>
      </c>
      <c r="B187" s="1" t="s">
        <v>183</v>
      </c>
      <c r="C187" s="1" t="s">
        <v>564</v>
      </c>
      <c r="D187" s="1" t="s">
        <v>564</v>
      </c>
    </row>
    <row r="188" spans="1:4" x14ac:dyDescent="0.2">
      <c r="A188" s="1" t="s">
        <v>187</v>
      </c>
      <c r="B188" s="1" t="s">
        <v>183</v>
      </c>
      <c r="C188" s="1" t="s">
        <v>564</v>
      </c>
      <c r="D188" s="1" t="s">
        <v>564</v>
      </c>
    </row>
    <row r="189" spans="1:4" x14ac:dyDescent="0.2">
      <c r="A189" s="1" t="s">
        <v>188</v>
      </c>
      <c r="B189" s="1" t="s">
        <v>183</v>
      </c>
      <c r="C189" s="1" t="s">
        <v>564</v>
      </c>
      <c r="D189" s="1" t="s">
        <v>564</v>
      </c>
    </row>
    <row r="190" spans="1:4" x14ac:dyDescent="0.2">
      <c r="A190" s="1" t="s">
        <v>189</v>
      </c>
      <c r="B190" s="1" t="s">
        <v>190</v>
      </c>
      <c r="C190" s="1" t="s">
        <v>564</v>
      </c>
      <c r="D190" s="1" t="s">
        <v>564</v>
      </c>
    </row>
    <row r="191" spans="1:4" x14ac:dyDescent="0.2">
      <c r="A191" s="1" t="s">
        <v>191</v>
      </c>
      <c r="B191" s="1" t="s">
        <v>190</v>
      </c>
      <c r="C191" s="1" t="s">
        <v>564</v>
      </c>
      <c r="D191" s="1" t="s">
        <v>564</v>
      </c>
    </row>
    <row r="192" spans="1:4" x14ac:dyDescent="0.2">
      <c r="A192" s="1" t="s">
        <v>192</v>
      </c>
      <c r="B192" s="1" t="s">
        <v>190</v>
      </c>
      <c r="C192" s="1" t="s">
        <v>564</v>
      </c>
      <c r="D192" s="1" t="s">
        <v>564</v>
      </c>
    </row>
    <row r="193" spans="1:4" x14ac:dyDescent="0.2">
      <c r="A193" s="1" t="s">
        <v>193</v>
      </c>
      <c r="B193" s="1" t="s">
        <v>190</v>
      </c>
      <c r="C193" s="1" t="s">
        <v>564</v>
      </c>
      <c r="D193" s="1" t="s">
        <v>564</v>
      </c>
    </row>
    <row r="194" spans="1:4" x14ac:dyDescent="0.2">
      <c r="A194" s="1" t="s">
        <v>194</v>
      </c>
      <c r="B194" s="1" t="s">
        <v>190</v>
      </c>
      <c r="C194" s="1" t="s">
        <v>564</v>
      </c>
      <c r="D194" s="1" t="s">
        <v>564</v>
      </c>
    </row>
    <row r="195" spans="1:4" x14ac:dyDescent="0.2">
      <c r="A195" s="1" t="s">
        <v>195</v>
      </c>
      <c r="B195" s="1" t="s">
        <v>190</v>
      </c>
      <c r="C195" s="1" t="s">
        <v>564</v>
      </c>
      <c r="D195" s="1" t="s">
        <v>564</v>
      </c>
    </row>
    <row r="196" spans="1:4" x14ac:dyDescent="0.2">
      <c r="A196" s="1" t="s">
        <v>196</v>
      </c>
      <c r="B196" s="1" t="s">
        <v>190</v>
      </c>
      <c r="C196" s="1" t="s">
        <v>564</v>
      </c>
      <c r="D196" s="1" t="s">
        <v>564</v>
      </c>
    </row>
    <row r="197" spans="1:4" x14ac:dyDescent="0.2">
      <c r="A197" s="1" t="s">
        <v>197</v>
      </c>
      <c r="B197" s="1" t="s">
        <v>190</v>
      </c>
      <c r="C197" s="1" t="s">
        <v>564</v>
      </c>
      <c r="D197" s="1" t="s">
        <v>564</v>
      </c>
    </row>
    <row r="198" spans="1:4" x14ac:dyDescent="0.2">
      <c r="A198" s="1" t="s">
        <v>198</v>
      </c>
      <c r="B198" s="1" t="s">
        <v>190</v>
      </c>
      <c r="C198" s="1" t="s">
        <v>564</v>
      </c>
      <c r="D198" s="1" t="s">
        <v>564</v>
      </c>
    </row>
    <row r="199" spans="1:4" x14ac:dyDescent="0.2">
      <c r="A199" s="1" t="s">
        <v>199</v>
      </c>
      <c r="B199" s="1" t="s">
        <v>190</v>
      </c>
      <c r="C199" s="1" t="s">
        <v>564</v>
      </c>
      <c r="D199" s="1" t="s">
        <v>564</v>
      </c>
    </row>
    <row r="200" spans="1:4" x14ac:dyDescent="0.2">
      <c r="A200" s="1" t="s">
        <v>200</v>
      </c>
      <c r="B200" s="1" t="s">
        <v>201</v>
      </c>
      <c r="C200" s="1" t="s">
        <v>564</v>
      </c>
      <c r="D200" s="1" t="s">
        <v>564</v>
      </c>
    </row>
    <row r="201" spans="1:4" x14ac:dyDescent="0.2">
      <c r="A201" s="1" t="s">
        <v>202</v>
      </c>
      <c r="B201" s="1" t="s">
        <v>201</v>
      </c>
      <c r="C201" s="1" t="s">
        <v>564</v>
      </c>
      <c r="D201" s="1" t="s">
        <v>564</v>
      </c>
    </row>
    <row r="202" spans="1:4" x14ac:dyDescent="0.2">
      <c r="A202" s="1" t="s">
        <v>203</v>
      </c>
      <c r="B202" s="1" t="s">
        <v>201</v>
      </c>
      <c r="C202" s="1" t="s">
        <v>564</v>
      </c>
      <c r="D202" s="1" t="s">
        <v>564</v>
      </c>
    </row>
    <row r="203" spans="1:4" x14ac:dyDescent="0.2">
      <c r="A203" s="1" t="s">
        <v>204</v>
      </c>
      <c r="B203" s="1" t="s">
        <v>201</v>
      </c>
      <c r="C203" s="1" t="s">
        <v>564</v>
      </c>
      <c r="D203" s="1" t="s">
        <v>564</v>
      </c>
    </row>
    <row r="204" spans="1:4" x14ac:dyDescent="0.2">
      <c r="A204" s="1" t="s">
        <v>205</v>
      </c>
      <c r="B204" s="1" t="s">
        <v>201</v>
      </c>
      <c r="C204" s="1" t="s">
        <v>564</v>
      </c>
      <c r="D204" s="1" t="s">
        <v>564</v>
      </c>
    </row>
    <row r="205" spans="1:4" x14ac:dyDescent="0.2">
      <c r="A205" s="1" t="s">
        <v>206</v>
      </c>
      <c r="B205" s="1" t="s">
        <v>201</v>
      </c>
      <c r="C205" s="1" t="s">
        <v>564</v>
      </c>
      <c r="D205" s="1" t="s">
        <v>564</v>
      </c>
    </row>
    <row r="206" spans="1:4" x14ac:dyDescent="0.2">
      <c r="A206" s="1" t="s">
        <v>207</v>
      </c>
      <c r="B206" s="1" t="s">
        <v>201</v>
      </c>
      <c r="C206" s="1" t="s">
        <v>564</v>
      </c>
      <c r="D206" s="1" t="s">
        <v>564</v>
      </c>
    </row>
    <row r="207" spans="1:4" x14ac:dyDescent="0.2">
      <c r="A207" s="1" t="s">
        <v>208</v>
      </c>
      <c r="B207" s="1" t="s">
        <v>201</v>
      </c>
      <c r="C207" s="1" t="s">
        <v>564</v>
      </c>
      <c r="D207" s="1" t="s">
        <v>564</v>
      </c>
    </row>
    <row r="208" spans="1:4" x14ac:dyDescent="0.2">
      <c r="A208" s="1" t="s">
        <v>209</v>
      </c>
      <c r="B208" s="1" t="s">
        <v>201</v>
      </c>
      <c r="C208" s="1" t="s">
        <v>564</v>
      </c>
      <c r="D208" s="1" t="s">
        <v>564</v>
      </c>
    </row>
    <row r="209" spans="1:4" x14ac:dyDescent="0.2">
      <c r="A209" s="1" t="s">
        <v>210</v>
      </c>
      <c r="B209" s="1" t="s">
        <v>201</v>
      </c>
      <c r="C209" s="1" t="s">
        <v>564</v>
      </c>
      <c r="D209" s="1" t="s">
        <v>564</v>
      </c>
    </row>
    <row r="210" spans="1:4" x14ac:dyDescent="0.2">
      <c r="A210" s="1" t="s">
        <v>211</v>
      </c>
      <c r="B210" s="1" t="s">
        <v>201</v>
      </c>
      <c r="C210" s="1" t="s">
        <v>564</v>
      </c>
      <c r="D210" s="1" t="s">
        <v>564</v>
      </c>
    </row>
    <row r="211" spans="1:4" x14ac:dyDescent="0.2">
      <c r="A211" s="1" t="s">
        <v>212</v>
      </c>
      <c r="B211" s="1" t="s">
        <v>201</v>
      </c>
      <c r="C211" s="1" t="s">
        <v>564</v>
      </c>
      <c r="D211" s="1" t="s">
        <v>564</v>
      </c>
    </row>
    <row r="212" spans="1:4" x14ac:dyDescent="0.2">
      <c r="A212" s="1" t="s">
        <v>213</v>
      </c>
      <c r="B212" s="1" t="s">
        <v>201</v>
      </c>
      <c r="C212" s="1" t="s">
        <v>564</v>
      </c>
      <c r="D212" s="1" t="s">
        <v>564</v>
      </c>
    </row>
    <row r="213" spans="1:4" x14ac:dyDescent="0.2">
      <c r="A213" s="1" t="s">
        <v>214</v>
      </c>
      <c r="B213" s="1" t="s">
        <v>201</v>
      </c>
      <c r="C213" s="1" t="s">
        <v>564</v>
      </c>
      <c r="D213" s="1" t="s">
        <v>564</v>
      </c>
    </row>
    <row r="214" spans="1:4" x14ac:dyDescent="0.2">
      <c r="A214" s="1" t="s">
        <v>215</v>
      </c>
      <c r="B214" s="1" t="s">
        <v>201</v>
      </c>
      <c r="C214" s="1" t="s">
        <v>564</v>
      </c>
      <c r="D214" s="1" t="s">
        <v>564</v>
      </c>
    </row>
    <row r="215" spans="1:4" x14ac:dyDescent="0.2">
      <c r="A215" s="1" t="s">
        <v>216</v>
      </c>
      <c r="B215" s="1" t="s">
        <v>201</v>
      </c>
      <c r="C215" s="1" t="s">
        <v>564</v>
      </c>
      <c r="D215" s="1" t="s">
        <v>564</v>
      </c>
    </row>
    <row r="216" spans="1:4" x14ac:dyDescent="0.2">
      <c r="A216" s="1" t="s">
        <v>217</v>
      </c>
      <c r="B216" s="1" t="s">
        <v>201</v>
      </c>
      <c r="C216" s="1" t="s">
        <v>564</v>
      </c>
      <c r="D216" s="1" t="s">
        <v>564</v>
      </c>
    </row>
    <row r="217" spans="1:4" x14ac:dyDescent="0.2">
      <c r="A217" s="1" t="s">
        <v>218</v>
      </c>
      <c r="B217" s="1" t="s">
        <v>201</v>
      </c>
      <c r="C217" s="1" t="s">
        <v>564</v>
      </c>
      <c r="D217" s="1" t="s">
        <v>564</v>
      </c>
    </row>
    <row r="218" spans="1:4" x14ac:dyDescent="0.2">
      <c r="A218" s="1" t="s">
        <v>219</v>
      </c>
      <c r="B218" s="1" t="s">
        <v>201</v>
      </c>
      <c r="C218" s="1" t="s">
        <v>564</v>
      </c>
      <c r="D218" s="1" t="s">
        <v>564</v>
      </c>
    </row>
    <row r="219" spans="1:4" x14ac:dyDescent="0.2">
      <c r="A219" s="1" t="s">
        <v>220</v>
      </c>
      <c r="B219" s="1" t="s">
        <v>201</v>
      </c>
      <c r="C219" s="1" t="s">
        <v>564</v>
      </c>
      <c r="D219" s="1" t="s">
        <v>564</v>
      </c>
    </row>
    <row r="220" spans="1:4" x14ac:dyDescent="0.2">
      <c r="A220" s="1" t="s">
        <v>221</v>
      </c>
      <c r="B220" s="1" t="s">
        <v>201</v>
      </c>
      <c r="C220" s="1" t="s">
        <v>564</v>
      </c>
      <c r="D220" s="1" t="s">
        <v>564</v>
      </c>
    </row>
    <row r="221" spans="1:4" x14ac:dyDescent="0.2">
      <c r="A221" s="1" t="s">
        <v>222</v>
      </c>
      <c r="B221" s="1" t="s">
        <v>201</v>
      </c>
      <c r="C221" s="1" t="s">
        <v>564</v>
      </c>
      <c r="D221" s="1" t="s">
        <v>564</v>
      </c>
    </row>
    <row r="222" spans="1:4" x14ac:dyDescent="0.2">
      <c r="A222" s="1" t="s">
        <v>223</v>
      </c>
      <c r="B222" s="1" t="s">
        <v>201</v>
      </c>
      <c r="C222" s="1" t="s">
        <v>564</v>
      </c>
      <c r="D222" s="1" t="s">
        <v>564</v>
      </c>
    </row>
    <row r="223" spans="1:4" x14ac:dyDescent="0.2">
      <c r="A223" s="1" t="s">
        <v>224</v>
      </c>
      <c r="B223" s="1" t="s">
        <v>201</v>
      </c>
      <c r="C223" s="1" t="s">
        <v>564</v>
      </c>
      <c r="D223" s="1" t="s">
        <v>564</v>
      </c>
    </row>
    <row r="224" spans="1:4" x14ac:dyDescent="0.2">
      <c r="A224" s="1" t="s">
        <v>225</v>
      </c>
      <c r="B224" s="1" t="s">
        <v>201</v>
      </c>
      <c r="C224" s="1" t="s">
        <v>564</v>
      </c>
      <c r="D224" s="1" t="s">
        <v>564</v>
      </c>
    </row>
    <row r="225" spans="1:4" x14ac:dyDescent="0.2">
      <c r="A225" s="1" t="s">
        <v>226</v>
      </c>
      <c r="B225" s="1" t="s">
        <v>201</v>
      </c>
      <c r="C225" s="1" t="s">
        <v>564</v>
      </c>
      <c r="D225" s="1" t="s">
        <v>564</v>
      </c>
    </row>
    <row r="226" spans="1:4" x14ac:dyDescent="0.2">
      <c r="A226" s="1" t="s">
        <v>227</v>
      </c>
      <c r="B226" s="1" t="s">
        <v>201</v>
      </c>
      <c r="C226" s="1" t="s">
        <v>564</v>
      </c>
      <c r="D226" s="1" t="s">
        <v>564</v>
      </c>
    </row>
    <row r="227" spans="1:4" x14ac:dyDescent="0.2">
      <c r="A227" s="1" t="s">
        <v>228</v>
      </c>
      <c r="B227" s="1" t="s">
        <v>201</v>
      </c>
      <c r="C227" s="1" t="s">
        <v>564</v>
      </c>
      <c r="D227" s="1" t="s">
        <v>564</v>
      </c>
    </row>
    <row r="228" spans="1:4" x14ac:dyDescent="0.2">
      <c r="A228" s="1" t="s">
        <v>229</v>
      </c>
      <c r="B228" s="1" t="s">
        <v>201</v>
      </c>
      <c r="C228" s="1" t="s">
        <v>564</v>
      </c>
      <c r="D228" s="1" t="s">
        <v>564</v>
      </c>
    </row>
    <row r="229" spans="1:4" x14ac:dyDescent="0.2">
      <c r="A229" s="1" t="s">
        <v>230</v>
      </c>
      <c r="B229" s="1" t="s">
        <v>201</v>
      </c>
      <c r="C229" s="1" t="s">
        <v>564</v>
      </c>
      <c r="D229" s="1" t="s">
        <v>564</v>
      </c>
    </row>
    <row r="230" spans="1:4" x14ac:dyDescent="0.2">
      <c r="A230" s="1" t="s">
        <v>231</v>
      </c>
      <c r="B230" s="1" t="s">
        <v>232</v>
      </c>
      <c r="C230" s="1" t="s">
        <v>564</v>
      </c>
      <c r="D230" s="1" t="s">
        <v>564</v>
      </c>
    </row>
    <row r="231" spans="1:4" x14ac:dyDescent="0.2">
      <c r="A231" s="1" t="s">
        <v>233</v>
      </c>
      <c r="B231" s="1" t="s">
        <v>232</v>
      </c>
      <c r="C231" s="1" t="s">
        <v>564</v>
      </c>
      <c r="D231" s="1" t="s">
        <v>564</v>
      </c>
    </row>
    <row r="232" spans="1:4" x14ac:dyDescent="0.2">
      <c r="A232" s="1" t="s">
        <v>234</v>
      </c>
      <c r="B232" s="1" t="s">
        <v>232</v>
      </c>
      <c r="C232" s="1" t="s">
        <v>564</v>
      </c>
      <c r="D232" s="1" t="s">
        <v>564</v>
      </c>
    </row>
    <row r="233" spans="1:4" x14ac:dyDescent="0.2">
      <c r="A233" s="1" t="s">
        <v>235</v>
      </c>
      <c r="B233" s="1" t="s">
        <v>232</v>
      </c>
      <c r="C233" s="1" t="s">
        <v>564</v>
      </c>
      <c r="D233" s="1" t="s">
        <v>564</v>
      </c>
    </row>
    <row r="234" spans="1:4" x14ac:dyDescent="0.2">
      <c r="A234" s="1" t="s">
        <v>236</v>
      </c>
      <c r="B234" s="1" t="s">
        <v>232</v>
      </c>
      <c r="C234" s="1" t="s">
        <v>564</v>
      </c>
      <c r="D234" s="1" t="s">
        <v>564</v>
      </c>
    </row>
    <row r="235" spans="1:4" x14ac:dyDescent="0.2">
      <c r="A235" s="1" t="s">
        <v>237</v>
      </c>
      <c r="B235" s="1" t="s">
        <v>232</v>
      </c>
      <c r="C235" s="1" t="s">
        <v>564</v>
      </c>
      <c r="D235" s="1" t="s">
        <v>564</v>
      </c>
    </row>
    <row r="236" spans="1:4" x14ac:dyDescent="0.2">
      <c r="A236" s="1" t="s">
        <v>238</v>
      </c>
      <c r="B236" s="1" t="s">
        <v>239</v>
      </c>
      <c r="C236" s="1" t="s">
        <v>564</v>
      </c>
      <c r="D236" s="1" t="s">
        <v>564</v>
      </c>
    </row>
    <row r="237" spans="1:4" x14ac:dyDescent="0.2">
      <c r="A237" s="1" t="s">
        <v>240</v>
      </c>
      <c r="B237" s="1" t="s">
        <v>239</v>
      </c>
      <c r="C237" s="1" t="s">
        <v>564</v>
      </c>
      <c r="D237" s="1" t="s">
        <v>564</v>
      </c>
    </row>
    <row r="238" spans="1:4" x14ac:dyDescent="0.2">
      <c r="A238" s="1" t="s">
        <v>241</v>
      </c>
      <c r="B238" s="1" t="s">
        <v>239</v>
      </c>
      <c r="C238" s="1" t="s">
        <v>564</v>
      </c>
      <c r="D238" s="1" t="s">
        <v>564</v>
      </c>
    </row>
    <row r="239" spans="1:4" x14ac:dyDescent="0.2">
      <c r="A239" s="1" t="s">
        <v>242</v>
      </c>
      <c r="B239" s="1" t="s">
        <v>239</v>
      </c>
      <c r="C239" s="1" t="s">
        <v>564</v>
      </c>
      <c r="D239" s="1" t="s">
        <v>564</v>
      </c>
    </row>
    <row r="240" spans="1:4" x14ac:dyDescent="0.2">
      <c r="A240" s="1" t="s">
        <v>243</v>
      </c>
      <c r="B240" s="1" t="s">
        <v>239</v>
      </c>
      <c r="C240" s="1" t="s">
        <v>564</v>
      </c>
      <c r="D240" s="1" t="s">
        <v>564</v>
      </c>
    </row>
    <row r="241" spans="1:4" x14ac:dyDescent="0.2">
      <c r="A241" s="1" t="s">
        <v>244</v>
      </c>
      <c r="B241" s="1" t="s">
        <v>239</v>
      </c>
      <c r="C241" s="1" t="s">
        <v>564</v>
      </c>
      <c r="D241" s="1" t="s">
        <v>564</v>
      </c>
    </row>
    <row r="242" spans="1:4" x14ac:dyDescent="0.2">
      <c r="A242" s="1" t="s">
        <v>245</v>
      </c>
      <c r="B242" s="1" t="s">
        <v>246</v>
      </c>
      <c r="C242" s="1" t="s">
        <v>564</v>
      </c>
      <c r="D242" s="1" t="s">
        <v>564</v>
      </c>
    </row>
    <row r="243" spans="1:4" x14ac:dyDescent="0.2">
      <c r="A243" s="1" t="s">
        <v>247</v>
      </c>
      <c r="B243" s="1" t="s">
        <v>246</v>
      </c>
      <c r="C243" s="1" t="s">
        <v>564</v>
      </c>
      <c r="D243" s="1" t="s">
        <v>564</v>
      </c>
    </row>
    <row r="244" spans="1:4" x14ac:dyDescent="0.2">
      <c r="A244" s="1" t="s">
        <v>248</v>
      </c>
      <c r="B244" s="1" t="s">
        <v>246</v>
      </c>
      <c r="C244" s="1" t="s">
        <v>564</v>
      </c>
      <c r="D244" s="1" t="s">
        <v>564</v>
      </c>
    </row>
    <row r="245" spans="1:4" x14ac:dyDescent="0.2">
      <c r="A245" s="1" t="s">
        <v>249</v>
      </c>
      <c r="B245" s="1" t="s">
        <v>246</v>
      </c>
      <c r="C245" s="1" t="s">
        <v>564</v>
      </c>
      <c r="D245" s="1" t="s">
        <v>564</v>
      </c>
    </row>
    <row r="246" spans="1:4" x14ac:dyDescent="0.2">
      <c r="A246" s="1" t="s">
        <v>250</v>
      </c>
      <c r="B246" s="1" t="s">
        <v>246</v>
      </c>
      <c r="C246" s="1" t="s">
        <v>564</v>
      </c>
      <c r="D246" s="1" t="s">
        <v>564</v>
      </c>
    </row>
    <row r="247" spans="1:4" x14ac:dyDescent="0.2">
      <c r="A247" s="1" t="s">
        <v>251</v>
      </c>
      <c r="B247" s="1" t="s">
        <v>246</v>
      </c>
      <c r="C247" s="1" t="s">
        <v>564</v>
      </c>
      <c r="D247" s="1" t="s">
        <v>564</v>
      </c>
    </row>
    <row r="248" spans="1:4" x14ac:dyDescent="0.2">
      <c r="A248" s="1" t="s">
        <v>252</v>
      </c>
      <c r="B248" s="1" t="s">
        <v>253</v>
      </c>
      <c r="C248" s="1" t="s">
        <v>564</v>
      </c>
      <c r="D248" s="1" t="s">
        <v>564</v>
      </c>
    </row>
    <row r="249" spans="1:4" x14ac:dyDescent="0.2">
      <c r="A249" s="1" t="s">
        <v>254</v>
      </c>
      <c r="B249" s="1" t="s">
        <v>253</v>
      </c>
      <c r="C249" s="1" t="s">
        <v>564</v>
      </c>
      <c r="D249" s="1" t="s">
        <v>564</v>
      </c>
    </row>
    <row r="250" spans="1:4" x14ac:dyDescent="0.2">
      <c r="A250" s="1" t="s">
        <v>255</v>
      </c>
      <c r="B250" s="1" t="s">
        <v>253</v>
      </c>
      <c r="C250" s="1" t="s">
        <v>564</v>
      </c>
      <c r="D250" s="1" t="s">
        <v>564</v>
      </c>
    </row>
    <row r="251" spans="1:4" x14ac:dyDescent="0.2">
      <c r="A251" s="1" t="s">
        <v>256</v>
      </c>
      <c r="B251" s="1" t="s">
        <v>253</v>
      </c>
      <c r="C251" s="1" t="s">
        <v>564</v>
      </c>
      <c r="D251" s="1" t="s">
        <v>564</v>
      </c>
    </row>
    <row r="252" spans="1:4" x14ac:dyDescent="0.2">
      <c r="A252" s="1" t="s">
        <v>257</v>
      </c>
      <c r="B252" s="1" t="s">
        <v>253</v>
      </c>
      <c r="C252" s="1" t="s">
        <v>564</v>
      </c>
      <c r="D252" s="1" t="s">
        <v>564</v>
      </c>
    </row>
    <row r="253" spans="1:4" x14ac:dyDescent="0.2">
      <c r="A253" s="1" t="s">
        <v>258</v>
      </c>
      <c r="B253" s="1" t="s">
        <v>253</v>
      </c>
      <c r="C253" s="1" t="s">
        <v>564</v>
      </c>
      <c r="D253" s="1" t="s">
        <v>564</v>
      </c>
    </row>
    <row r="254" spans="1:4" x14ac:dyDescent="0.2">
      <c r="A254" s="1" t="s">
        <v>259</v>
      </c>
      <c r="B254" s="1" t="s">
        <v>253</v>
      </c>
      <c r="C254" s="1" t="s">
        <v>564</v>
      </c>
      <c r="D254" s="1" t="s">
        <v>564</v>
      </c>
    </row>
    <row r="255" spans="1:4" x14ac:dyDescent="0.2">
      <c r="A255" s="1" t="s">
        <v>260</v>
      </c>
      <c r="B255" s="1" t="s">
        <v>253</v>
      </c>
      <c r="C255" s="1" t="s">
        <v>564</v>
      </c>
      <c r="D255" s="1" t="s">
        <v>564</v>
      </c>
    </row>
    <row r="256" spans="1:4" x14ac:dyDescent="0.2">
      <c r="A256" s="1" t="s">
        <v>261</v>
      </c>
      <c r="B256" s="1" t="s">
        <v>253</v>
      </c>
      <c r="C256" s="1" t="s">
        <v>564</v>
      </c>
      <c r="D256" s="1" t="s">
        <v>564</v>
      </c>
    </row>
    <row r="257" spans="1:4" x14ac:dyDescent="0.2">
      <c r="A257" s="1" t="s">
        <v>262</v>
      </c>
      <c r="B257" s="1" t="s">
        <v>253</v>
      </c>
      <c r="C257" s="1" t="s">
        <v>564</v>
      </c>
      <c r="D257" s="1" t="s">
        <v>564</v>
      </c>
    </row>
    <row r="258" spans="1:4" x14ac:dyDescent="0.2">
      <c r="A258" s="1" t="s">
        <v>263</v>
      </c>
      <c r="B258" s="1" t="s">
        <v>253</v>
      </c>
      <c r="C258" s="1" t="s">
        <v>564</v>
      </c>
      <c r="D258" s="1" t="s">
        <v>564</v>
      </c>
    </row>
    <row r="259" spans="1:4" x14ac:dyDescent="0.2">
      <c r="A259" s="1" t="s">
        <v>264</v>
      </c>
      <c r="B259" s="1" t="s">
        <v>253</v>
      </c>
      <c r="C259" s="1" t="s">
        <v>564</v>
      </c>
      <c r="D259" s="1" t="s">
        <v>564</v>
      </c>
    </row>
    <row r="260" spans="1:4" x14ac:dyDescent="0.2">
      <c r="A260" s="1" t="s">
        <v>265</v>
      </c>
      <c r="B260" s="1" t="s">
        <v>253</v>
      </c>
      <c r="C260" s="1" t="s">
        <v>564</v>
      </c>
      <c r="D260" s="1" t="s">
        <v>564</v>
      </c>
    </row>
    <row r="261" spans="1:4" x14ac:dyDescent="0.2">
      <c r="A261" s="1" t="s">
        <v>266</v>
      </c>
      <c r="B261" s="1" t="s">
        <v>253</v>
      </c>
      <c r="C261" s="1" t="s">
        <v>564</v>
      </c>
      <c r="D261" s="1" t="s">
        <v>564</v>
      </c>
    </row>
    <row r="262" spans="1:4" x14ac:dyDescent="0.2">
      <c r="A262" s="1" t="s">
        <v>267</v>
      </c>
      <c r="B262" s="1" t="s">
        <v>253</v>
      </c>
      <c r="C262" s="1" t="s">
        <v>564</v>
      </c>
      <c r="D262" s="1" t="s">
        <v>564</v>
      </c>
    </row>
    <row r="263" spans="1:4" x14ac:dyDescent="0.2">
      <c r="A263" s="1" t="s">
        <v>268</v>
      </c>
      <c r="B263" s="1" t="s">
        <v>269</v>
      </c>
      <c r="C263" s="1" t="s">
        <v>564</v>
      </c>
      <c r="D263" s="1" t="s">
        <v>564</v>
      </c>
    </row>
    <row r="264" spans="1:4" x14ac:dyDescent="0.2">
      <c r="A264" s="1" t="s">
        <v>270</v>
      </c>
      <c r="B264" s="1" t="s">
        <v>269</v>
      </c>
      <c r="C264" s="1" t="s">
        <v>564</v>
      </c>
      <c r="D264" s="1" t="s">
        <v>564</v>
      </c>
    </row>
    <row r="265" spans="1:4" x14ac:dyDescent="0.2">
      <c r="A265" s="1" t="s">
        <v>271</v>
      </c>
      <c r="B265" s="1" t="s">
        <v>269</v>
      </c>
      <c r="C265" s="1" t="s">
        <v>564</v>
      </c>
      <c r="D265" s="1" t="s">
        <v>564</v>
      </c>
    </row>
    <row r="266" spans="1:4" x14ac:dyDescent="0.2">
      <c r="A266" s="1" t="s">
        <v>272</v>
      </c>
      <c r="B266" s="1" t="s">
        <v>269</v>
      </c>
      <c r="C266" s="1" t="s">
        <v>564</v>
      </c>
      <c r="D266" s="1" t="s">
        <v>564</v>
      </c>
    </row>
    <row r="267" spans="1:4" x14ac:dyDescent="0.2">
      <c r="A267" s="1" t="s">
        <v>273</v>
      </c>
      <c r="B267" s="1" t="s">
        <v>269</v>
      </c>
      <c r="C267" s="1" t="s">
        <v>564</v>
      </c>
      <c r="D267" s="1" t="s">
        <v>564</v>
      </c>
    </row>
    <row r="268" spans="1:4" x14ac:dyDescent="0.2">
      <c r="A268" s="1" t="s">
        <v>274</v>
      </c>
      <c r="B268" s="1" t="s">
        <v>269</v>
      </c>
      <c r="C268" s="1" t="s">
        <v>564</v>
      </c>
      <c r="D268" s="1" t="s">
        <v>564</v>
      </c>
    </row>
    <row r="269" spans="1:4" x14ac:dyDescent="0.2">
      <c r="A269" s="1" t="s">
        <v>275</v>
      </c>
      <c r="B269" s="1" t="s">
        <v>269</v>
      </c>
      <c r="C269" s="1" t="s">
        <v>564</v>
      </c>
      <c r="D269" s="1" t="s">
        <v>564</v>
      </c>
    </row>
    <row r="270" spans="1:4" x14ac:dyDescent="0.2">
      <c r="A270" s="1" t="s">
        <v>276</v>
      </c>
      <c r="B270" s="1" t="s">
        <v>269</v>
      </c>
      <c r="C270" s="1" t="s">
        <v>564</v>
      </c>
      <c r="D270" s="1" t="s">
        <v>564</v>
      </c>
    </row>
    <row r="271" spans="1:4" x14ac:dyDescent="0.2">
      <c r="A271" s="1" t="s">
        <v>277</v>
      </c>
      <c r="B271" s="1" t="s">
        <v>269</v>
      </c>
      <c r="C271" s="1" t="s">
        <v>564</v>
      </c>
      <c r="D271" s="1" t="s">
        <v>564</v>
      </c>
    </row>
    <row r="272" spans="1:4" x14ac:dyDescent="0.2">
      <c r="A272" s="1" t="s">
        <v>278</v>
      </c>
      <c r="B272" s="1" t="s">
        <v>269</v>
      </c>
      <c r="C272" s="1" t="s">
        <v>564</v>
      </c>
      <c r="D272" s="1" t="s">
        <v>564</v>
      </c>
    </row>
    <row r="273" spans="1:4" x14ac:dyDescent="0.2">
      <c r="A273" s="1" t="s">
        <v>279</v>
      </c>
      <c r="B273" s="1" t="s">
        <v>269</v>
      </c>
      <c r="C273" s="1" t="s">
        <v>564</v>
      </c>
      <c r="D273" s="1" t="s">
        <v>564</v>
      </c>
    </row>
    <row r="274" spans="1:4" x14ac:dyDescent="0.2">
      <c r="A274" s="1" t="s">
        <v>280</v>
      </c>
      <c r="B274" s="1" t="s">
        <v>269</v>
      </c>
      <c r="C274" s="1" t="s">
        <v>564</v>
      </c>
      <c r="D274" s="1" t="s">
        <v>564</v>
      </c>
    </row>
    <row r="275" spans="1:4" x14ac:dyDescent="0.2">
      <c r="A275" s="1" t="s">
        <v>281</v>
      </c>
      <c r="B275" s="1" t="s">
        <v>282</v>
      </c>
      <c r="C275" s="1" t="s">
        <v>564</v>
      </c>
      <c r="D275" s="1" t="s">
        <v>564</v>
      </c>
    </row>
    <row r="276" spans="1:4" x14ac:dyDescent="0.2">
      <c r="A276" s="1" t="s">
        <v>283</v>
      </c>
      <c r="B276" s="1" t="s">
        <v>282</v>
      </c>
      <c r="C276" s="1" t="s">
        <v>564</v>
      </c>
      <c r="D276" s="1" t="s">
        <v>564</v>
      </c>
    </row>
    <row r="277" spans="1:4" x14ac:dyDescent="0.2">
      <c r="A277" s="1" t="s">
        <v>284</v>
      </c>
      <c r="B277" s="1" t="s">
        <v>282</v>
      </c>
      <c r="C277" s="1" t="s">
        <v>564</v>
      </c>
      <c r="D277" s="1" t="s">
        <v>564</v>
      </c>
    </row>
    <row r="278" spans="1:4" x14ac:dyDescent="0.2">
      <c r="A278" s="1" t="s">
        <v>285</v>
      </c>
      <c r="B278" s="1" t="s">
        <v>282</v>
      </c>
      <c r="C278" s="1" t="s">
        <v>564</v>
      </c>
      <c r="D278" s="1" t="s">
        <v>564</v>
      </c>
    </row>
    <row r="279" spans="1:4" x14ac:dyDescent="0.2">
      <c r="A279" s="1" t="s">
        <v>286</v>
      </c>
      <c r="B279" s="1" t="s">
        <v>282</v>
      </c>
      <c r="C279" s="1" t="s">
        <v>564</v>
      </c>
      <c r="D279" s="1" t="s">
        <v>564</v>
      </c>
    </row>
    <row r="280" spans="1:4" x14ac:dyDescent="0.2">
      <c r="A280" s="1" t="s">
        <v>287</v>
      </c>
      <c r="B280" s="1" t="s">
        <v>282</v>
      </c>
      <c r="C280" s="1" t="s">
        <v>564</v>
      </c>
      <c r="D280" s="1" t="s">
        <v>564</v>
      </c>
    </row>
    <row r="281" spans="1:4" x14ac:dyDescent="0.2">
      <c r="A281" s="1" t="s">
        <v>288</v>
      </c>
      <c r="B281" s="1" t="s">
        <v>289</v>
      </c>
      <c r="C281" s="1" t="s">
        <v>564</v>
      </c>
      <c r="D281" s="1" t="s">
        <v>564</v>
      </c>
    </row>
    <row r="282" spans="1:4" x14ac:dyDescent="0.2">
      <c r="A282" s="1" t="s">
        <v>290</v>
      </c>
      <c r="B282" s="1" t="s">
        <v>289</v>
      </c>
      <c r="C282" s="1" t="s">
        <v>564</v>
      </c>
      <c r="D282" s="1" t="s">
        <v>564</v>
      </c>
    </row>
    <row r="283" spans="1:4" x14ac:dyDescent="0.2">
      <c r="A283" s="1" t="s">
        <v>291</v>
      </c>
      <c r="B283" s="1" t="s">
        <v>289</v>
      </c>
      <c r="C283" s="1" t="s">
        <v>564</v>
      </c>
      <c r="D283" s="1" t="s">
        <v>564</v>
      </c>
    </row>
    <row r="284" spans="1:4" x14ac:dyDescent="0.2">
      <c r="A284" s="1" t="s">
        <v>292</v>
      </c>
      <c r="B284" s="1" t="s">
        <v>289</v>
      </c>
      <c r="C284" s="1" t="s">
        <v>564</v>
      </c>
      <c r="D284" s="1" t="s">
        <v>564</v>
      </c>
    </row>
    <row r="285" spans="1:4" x14ac:dyDescent="0.2">
      <c r="A285" s="1" t="s">
        <v>293</v>
      </c>
      <c r="B285" s="1" t="s">
        <v>289</v>
      </c>
      <c r="C285" s="1" t="s">
        <v>564</v>
      </c>
      <c r="D285" s="1" t="s">
        <v>564</v>
      </c>
    </row>
    <row r="286" spans="1:4" x14ac:dyDescent="0.2">
      <c r="A286" s="1" t="s">
        <v>294</v>
      </c>
      <c r="B286" s="1" t="s">
        <v>289</v>
      </c>
      <c r="C286" s="1" t="s">
        <v>564</v>
      </c>
      <c r="D286" s="1" t="s">
        <v>564</v>
      </c>
    </row>
    <row r="287" spans="1:4" x14ac:dyDescent="0.2">
      <c r="A287" s="1" t="s">
        <v>295</v>
      </c>
      <c r="B287" s="1" t="s">
        <v>296</v>
      </c>
      <c r="C287" s="1" t="s">
        <v>564</v>
      </c>
      <c r="D287" s="1" t="s">
        <v>564</v>
      </c>
    </row>
    <row r="288" spans="1:4" x14ac:dyDescent="0.2">
      <c r="A288" s="1" t="s">
        <v>297</v>
      </c>
      <c r="B288" s="1" t="s">
        <v>296</v>
      </c>
      <c r="C288" s="1" t="s">
        <v>564</v>
      </c>
      <c r="D288" s="1" t="s">
        <v>564</v>
      </c>
    </row>
    <row r="289" spans="1:4" x14ac:dyDescent="0.2">
      <c r="A289" s="1" t="s">
        <v>298</v>
      </c>
      <c r="B289" s="1" t="s">
        <v>296</v>
      </c>
      <c r="C289" s="1" t="s">
        <v>564</v>
      </c>
      <c r="D289" s="1" t="s">
        <v>564</v>
      </c>
    </row>
    <row r="290" spans="1:4" x14ac:dyDescent="0.2">
      <c r="A290" s="1" t="s">
        <v>299</v>
      </c>
      <c r="B290" s="1" t="s">
        <v>296</v>
      </c>
      <c r="C290" s="1" t="s">
        <v>564</v>
      </c>
      <c r="D290" s="1" t="s">
        <v>564</v>
      </c>
    </row>
    <row r="291" spans="1:4" x14ac:dyDescent="0.2">
      <c r="A291" s="1" t="s">
        <v>300</v>
      </c>
      <c r="B291" s="1" t="s">
        <v>296</v>
      </c>
      <c r="C291" s="1" t="s">
        <v>564</v>
      </c>
      <c r="D291" s="1" t="s">
        <v>564</v>
      </c>
    </row>
    <row r="292" spans="1:4" x14ac:dyDescent="0.2">
      <c r="A292" s="1" t="s">
        <v>301</v>
      </c>
      <c r="B292" s="1" t="s">
        <v>296</v>
      </c>
      <c r="C292" s="1" t="s">
        <v>564</v>
      </c>
      <c r="D292" s="1" t="s">
        <v>564</v>
      </c>
    </row>
    <row r="293" spans="1:4" x14ac:dyDescent="0.2">
      <c r="A293" s="1" t="s">
        <v>302</v>
      </c>
      <c r="B293" s="1" t="s">
        <v>296</v>
      </c>
      <c r="C293" s="1" t="s">
        <v>564</v>
      </c>
      <c r="D293" s="1" t="s">
        <v>564</v>
      </c>
    </row>
    <row r="294" spans="1:4" x14ac:dyDescent="0.2">
      <c r="A294" s="1" t="s">
        <v>303</v>
      </c>
      <c r="B294" s="1" t="s">
        <v>296</v>
      </c>
      <c r="C294" s="1" t="s">
        <v>564</v>
      </c>
      <c r="D294" s="1" t="s">
        <v>564</v>
      </c>
    </row>
    <row r="295" spans="1:4" x14ac:dyDescent="0.2">
      <c r="A295" s="1" t="s">
        <v>304</v>
      </c>
      <c r="B295" s="1" t="s">
        <v>296</v>
      </c>
      <c r="C295" s="1" t="s">
        <v>564</v>
      </c>
      <c r="D295" s="1" t="s">
        <v>564</v>
      </c>
    </row>
    <row r="296" spans="1:4" x14ac:dyDescent="0.2">
      <c r="A296" s="1" t="s">
        <v>305</v>
      </c>
      <c r="B296" s="1" t="s">
        <v>296</v>
      </c>
      <c r="C296" s="1" t="s">
        <v>564</v>
      </c>
      <c r="D296" s="1" t="s">
        <v>564</v>
      </c>
    </row>
    <row r="297" spans="1:4" x14ac:dyDescent="0.2">
      <c r="A297" s="1" t="s">
        <v>306</v>
      </c>
      <c r="B297" s="1" t="s">
        <v>307</v>
      </c>
      <c r="C297" s="1" t="s">
        <v>564</v>
      </c>
      <c r="D297" s="1" t="s">
        <v>564</v>
      </c>
    </row>
    <row r="298" spans="1:4" x14ac:dyDescent="0.2">
      <c r="A298" s="1" t="s">
        <v>308</v>
      </c>
      <c r="B298" s="1" t="s">
        <v>307</v>
      </c>
      <c r="C298" s="1" t="s">
        <v>564</v>
      </c>
      <c r="D298" s="1" t="s">
        <v>564</v>
      </c>
    </row>
    <row r="299" spans="1:4" x14ac:dyDescent="0.2">
      <c r="A299" s="1" t="s">
        <v>309</v>
      </c>
      <c r="B299" s="1" t="s">
        <v>307</v>
      </c>
      <c r="C299" s="1" t="s">
        <v>564</v>
      </c>
      <c r="D299" s="1" t="s">
        <v>564</v>
      </c>
    </row>
    <row r="300" spans="1:4" x14ac:dyDescent="0.2">
      <c r="A300" s="1" t="s">
        <v>310</v>
      </c>
      <c r="B300" s="1" t="s">
        <v>307</v>
      </c>
      <c r="C300" s="1" t="s">
        <v>564</v>
      </c>
      <c r="D300" s="1" t="s">
        <v>564</v>
      </c>
    </row>
    <row r="301" spans="1:4" x14ac:dyDescent="0.2">
      <c r="A301" s="1" t="s">
        <v>311</v>
      </c>
      <c r="B301" s="1" t="s">
        <v>307</v>
      </c>
      <c r="C301" s="1" t="s">
        <v>564</v>
      </c>
      <c r="D301" s="1" t="s">
        <v>564</v>
      </c>
    </row>
    <row r="302" spans="1:4" x14ac:dyDescent="0.2">
      <c r="A302" s="1" t="s">
        <v>312</v>
      </c>
      <c r="B302" s="1" t="s">
        <v>307</v>
      </c>
      <c r="C302" s="1" t="s">
        <v>564</v>
      </c>
      <c r="D302" s="1" t="s">
        <v>564</v>
      </c>
    </row>
    <row r="303" spans="1:4" x14ac:dyDescent="0.2">
      <c r="A303" s="1" t="s">
        <v>313</v>
      </c>
      <c r="B303" s="1" t="s">
        <v>307</v>
      </c>
      <c r="C303" s="1" t="s">
        <v>564</v>
      </c>
      <c r="D303" s="1" t="s">
        <v>564</v>
      </c>
    </row>
    <row r="304" spans="1:4" x14ac:dyDescent="0.2">
      <c r="A304" s="1" t="s">
        <v>314</v>
      </c>
      <c r="B304" s="1" t="s">
        <v>307</v>
      </c>
      <c r="C304" s="1" t="s">
        <v>564</v>
      </c>
      <c r="D304" s="1" t="s">
        <v>564</v>
      </c>
    </row>
    <row r="305" spans="1:4" x14ac:dyDescent="0.2">
      <c r="A305" s="1" t="s">
        <v>315</v>
      </c>
      <c r="B305" s="1" t="s">
        <v>307</v>
      </c>
      <c r="C305" s="1" t="s">
        <v>564</v>
      </c>
      <c r="D305" s="1" t="s">
        <v>564</v>
      </c>
    </row>
    <row r="306" spans="1:4" x14ac:dyDescent="0.2">
      <c r="A306" s="1" t="s">
        <v>316</v>
      </c>
      <c r="B306" s="1" t="s">
        <v>307</v>
      </c>
      <c r="C306" s="1" t="s">
        <v>564</v>
      </c>
      <c r="D306" s="1" t="s">
        <v>564</v>
      </c>
    </row>
    <row r="307" spans="1:4" x14ac:dyDescent="0.2">
      <c r="A307" s="1" t="s">
        <v>317</v>
      </c>
      <c r="B307" s="1" t="s">
        <v>307</v>
      </c>
      <c r="C307" s="1" t="s">
        <v>564</v>
      </c>
      <c r="D307" s="1" t="s">
        <v>564</v>
      </c>
    </row>
    <row r="308" spans="1:4" x14ac:dyDescent="0.2">
      <c r="A308" s="1" t="s">
        <v>318</v>
      </c>
      <c r="B308" s="1" t="s">
        <v>307</v>
      </c>
      <c r="C308" s="1" t="s">
        <v>564</v>
      </c>
      <c r="D308" s="1" t="s">
        <v>564</v>
      </c>
    </row>
    <row r="309" spans="1:4" x14ac:dyDescent="0.2">
      <c r="A309" s="1" t="s">
        <v>319</v>
      </c>
      <c r="B309" s="1" t="s">
        <v>307</v>
      </c>
      <c r="C309" s="1" t="s">
        <v>564</v>
      </c>
      <c r="D309" s="1" t="s">
        <v>564</v>
      </c>
    </row>
    <row r="310" spans="1:4" x14ac:dyDescent="0.2">
      <c r="A310" s="1" t="s">
        <v>320</v>
      </c>
      <c r="B310" s="1" t="s">
        <v>307</v>
      </c>
      <c r="C310" s="1" t="s">
        <v>564</v>
      </c>
      <c r="D310" s="1" t="s">
        <v>564</v>
      </c>
    </row>
    <row r="311" spans="1:4" x14ac:dyDescent="0.2">
      <c r="A311" s="1" t="s">
        <v>321</v>
      </c>
      <c r="B311" s="1" t="s">
        <v>307</v>
      </c>
      <c r="C311" s="1" t="s">
        <v>564</v>
      </c>
      <c r="D311" s="1" t="s">
        <v>564</v>
      </c>
    </row>
    <row r="312" spans="1:4" x14ac:dyDescent="0.2">
      <c r="A312" s="1" t="s">
        <v>322</v>
      </c>
      <c r="B312" s="1" t="s">
        <v>307</v>
      </c>
      <c r="C312" s="1" t="s">
        <v>564</v>
      </c>
      <c r="D312" s="1" t="s">
        <v>564</v>
      </c>
    </row>
    <row r="313" spans="1:4" x14ac:dyDescent="0.2">
      <c r="A313" s="1" t="s">
        <v>323</v>
      </c>
      <c r="B313" s="1" t="s">
        <v>307</v>
      </c>
      <c r="C313" s="1" t="s">
        <v>564</v>
      </c>
      <c r="D313" s="1" t="s">
        <v>564</v>
      </c>
    </row>
    <row r="314" spans="1:4" x14ac:dyDescent="0.2">
      <c r="A314" s="1" t="s">
        <v>324</v>
      </c>
      <c r="B314" s="1" t="s">
        <v>307</v>
      </c>
      <c r="C314" s="1" t="s">
        <v>564</v>
      </c>
      <c r="D314" s="1" t="s">
        <v>564</v>
      </c>
    </row>
    <row r="315" spans="1:4" x14ac:dyDescent="0.2">
      <c r="A315" s="1" t="s">
        <v>325</v>
      </c>
      <c r="B315" s="1" t="s">
        <v>307</v>
      </c>
      <c r="C315" s="1" t="s">
        <v>564</v>
      </c>
      <c r="D315" s="1" t="s">
        <v>564</v>
      </c>
    </row>
    <row r="316" spans="1:4" x14ac:dyDescent="0.2">
      <c r="A316" s="1" t="s">
        <v>326</v>
      </c>
      <c r="B316" s="1" t="s">
        <v>307</v>
      </c>
      <c r="C316" s="1" t="s">
        <v>564</v>
      </c>
      <c r="D316" s="1" t="s">
        <v>564</v>
      </c>
    </row>
    <row r="317" spans="1:4" x14ac:dyDescent="0.2">
      <c r="A317" s="1" t="s">
        <v>327</v>
      </c>
      <c r="B317" s="1" t="s">
        <v>307</v>
      </c>
      <c r="C317" s="1" t="s">
        <v>564</v>
      </c>
      <c r="D317" s="1" t="s">
        <v>564</v>
      </c>
    </row>
    <row r="318" spans="1:4" x14ac:dyDescent="0.2">
      <c r="A318" s="1" t="s">
        <v>328</v>
      </c>
      <c r="B318" s="1" t="s">
        <v>307</v>
      </c>
      <c r="C318" s="1" t="s">
        <v>564</v>
      </c>
      <c r="D318" s="1" t="s">
        <v>564</v>
      </c>
    </row>
    <row r="319" spans="1:4" x14ac:dyDescent="0.2">
      <c r="A319" s="1" t="s">
        <v>329</v>
      </c>
      <c r="B319" s="1" t="s">
        <v>307</v>
      </c>
      <c r="C319" s="1" t="s">
        <v>564</v>
      </c>
      <c r="D319" s="1" t="s">
        <v>564</v>
      </c>
    </row>
    <row r="320" spans="1:4" x14ac:dyDescent="0.2">
      <c r="A320" s="1" t="s">
        <v>330</v>
      </c>
      <c r="B320" s="1" t="s">
        <v>331</v>
      </c>
      <c r="C320" s="1" t="s">
        <v>564</v>
      </c>
      <c r="D320" s="1" t="s">
        <v>564</v>
      </c>
    </row>
    <row r="321" spans="1:4" x14ac:dyDescent="0.2">
      <c r="A321" s="1" t="s">
        <v>332</v>
      </c>
      <c r="B321" s="1" t="s">
        <v>331</v>
      </c>
      <c r="C321" s="1" t="s">
        <v>564</v>
      </c>
      <c r="D321" s="1" t="s">
        <v>564</v>
      </c>
    </row>
    <row r="322" spans="1:4" x14ac:dyDescent="0.2">
      <c r="A322" s="1" t="s">
        <v>333</v>
      </c>
      <c r="B322" s="1" t="s">
        <v>331</v>
      </c>
      <c r="C322" s="1" t="s">
        <v>564</v>
      </c>
      <c r="D322" s="1" t="s">
        <v>564</v>
      </c>
    </row>
    <row r="323" spans="1:4" x14ac:dyDescent="0.2">
      <c r="A323" s="1" t="s">
        <v>334</v>
      </c>
      <c r="B323" s="1" t="s">
        <v>331</v>
      </c>
      <c r="C323" s="1" t="s">
        <v>564</v>
      </c>
      <c r="D323" s="1" t="s">
        <v>564</v>
      </c>
    </row>
    <row r="324" spans="1:4" x14ac:dyDescent="0.2">
      <c r="A324" s="1" t="s">
        <v>335</v>
      </c>
      <c r="B324" s="1" t="s">
        <v>331</v>
      </c>
      <c r="C324" s="1" t="s">
        <v>564</v>
      </c>
      <c r="D324" s="1" t="s">
        <v>564</v>
      </c>
    </row>
    <row r="325" spans="1:4" x14ac:dyDescent="0.2">
      <c r="A325" s="1" t="s">
        <v>336</v>
      </c>
      <c r="B325" s="1" t="s">
        <v>331</v>
      </c>
      <c r="C325" s="1" t="s">
        <v>564</v>
      </c>
      <c r="D325" s="1" t="s">
        <v>564</v>
      </c>
    </row>
    <row r="326" spans="1:4" x14ac:dyDescent="0.2">
      <c r="A326" s="1" t="s">
        <v>337</v>
      </c>
      <c r="B326" s="1" t="s">
        <v>331</v>
      </c>
      <c r="C326" s="1" t="s">
        <v>564</v>
      </c>
      <c r="D326" s="1" t="s">
        <v>564</v>
      </c>
    </row>
    <row r="327" spans="1:4" x14ac:dyDescent="0.2">
      <c r="A327" s="1" t="s">
        <v>338</v>
      </c>
      <c r="B327" s="1" t="s">
        <v>331</v>
      </c>
      <c r="C327" s="1" t="s">
        <v>564</v>
      </c>
      <c r="D327" s="1" t="s">
        <v>564</v>
      </c>
    </row>
    <row r="328" spans="1:4" x14ac:dyDescent="0.2">
      <c r="A328" s="1" t="s">
        <v>339</v>
      </c>
      <c r="B328" s="1" t="s">
        <v>331</v>
      </c>
      <c r="C328" s="1" t="s">
        <v>564</v>
      </c>
      <c r="D328" s="1" t="s">
        <v>564</v>
      </c>
    </row>
    <row r="329" spans="1:4" x14ac:dyDescent="0.2">
      <c r="A329" s="1" t="s">
        <v>340</v>
      </c>
      <c r="B329" s="1" t="s">
        <v>331</v>
      </c>
      <c r="C329" s="1" t="s">
        <v>564</v>
      </c>
      <c r="D329" s="1" t="s">
        <v>564</v>
      </c>
    </row>
    <row r="330" spans="1:4" x14ac:dyDescent="0.2">
      <c r="A330" s="1" t="s">
        <v>341</v>
      </c>
      <c r="B330" s="1" t="s">
        <v>331</v>
      </c>
      <c r="C330" s="1" t="s">
        <v>564</v>
      </c>
      <c r="D330" s="1" t="s">
        <v>564</v>
      </c>
    </row>
    <row r="331" spans="1:4" x14ac:dyDescent="0.2">
      <c r="A331" s="1" t="s">
        <v>342</v>
      </c>
      <c r="B331" s="1" t="s">
        <v>331</v>
      </c>
      <c r="C331" s="1" t="s">
        <v>564</v>
      </c>
      <c r="D331" s="1" t="s">
        <v>564</v>
      </c>
    </row>
    <row r="332" spans="1:4" x14ac:dyDescent="0.2">
      <c r="A332" s="1" t="s">
        <v>343</v>
      </c>
      <c r="B332" s="1" t="s">
        <v>331</v>
      </c>
      <c r="C332" s="1" t="s">
        <v>564</v>
      </c>
      <c r="D332" s="1" t="s">
        <v>564</v>
      </c>
    </row>
    <row r="333" spans="1:4" x14ac:dyDescent="0.2">
      <c r="A333" s="1" t="s">
        <v>344</v>
      </c>
      <c r="B333" s="1" t="s">
        <v>331</v>
      </c>
      <c r="C333" s="1" t="s">
        <v>564</v>
      </c>
      <c r="D333" s="1" t="s">
        <v>564</v>
      </c>
    </row>
    <row r="334" spans="1:4" x14ac:dyDescent="0.2">
      <c r="A334" s="1" t="s">
        <v>345</v>
      </c>
      <c r="B334" s="1" t="s">
        <v>331</v>
      </c>
      <c r="C334" s="1" t="s">
        <v>564</v>
      </c>
      <c r="D334" s="1" t="s">
        <v>564</v>
      </c>
    </row>
    <row r="335" spans="1:4" x14ac:dyDescent="0.2">
      <c r="A335" s="1" t="s">
        <v>346</v>
      </c>
      <c r="B335" s="1" t="s">
        <v>331</v>
      </c>
      <c r="C335" s="1" t="s">
        <v>564</v>
      </c>
      <c r="D335" s="1" t="s">
        <v>564</v>
      </c>
    </row>
    <row r="336" spans="1:4" x14ac:dyDescent="0.2">
      <c r="A336" s="1" t="s">
        <v>347</v>
      </c>
      <c r="B336" s="1" t="s">
        <v>331</v>
      </c>
      <c r="C336" s="1" t="s">
        <v>564</v>
      </c>
      <c r="D336" s="1" t="s">
        <v>564</v>
      </c>
    </row>
    <row r="337" spans="1:4" x14ac:dyDescent="0.2">
      <c r="A337" s="1" t="s">
        <v>348</v>
      </c>
      <c r="B337" s="1" t="s">
        <v>349</v>
      </c>
      <c r="C337" s="1" t="s">
        <v>564</v>
      </c>
      <c r="D337" s="1" t="s">
        <v>564</v>
      </c>
    </row>
    <row r="338" spans="1:4" x14ac:dyDescent="0.2">
      <c r="A338" s="1" t="s">
        <v>350</v>
      </c>
      <c r="B338" s="1" t="s">
        <v>349</v>
      </c>
      <c r="C338" s="1" t="s">
        <v>564</v>
      </c>
      <c r="D338" s="1" t="s">
        <v>564</v>
      </c>
    </row>
    <row r="339" spans="1:4" x14ac:dyDescent="0.2">
      <c r="A339" s="1" t="s">
        <v>351</v>
      </c>
      <c r="B339" s="1" t="s">
        <v>349</v>
      </c>
      <c r="C339" s="1" t="s">
        <v>564</v>
      </c>
      <c r="D339" s="1" t="s">
        <v>564</v>
      </c>
    </row>
    <row r="340" spans="1:4" x14ac:dyDescent="0.2">
      <c r="A340" s="1" t="s">
        <v>352</v>
      </c>
      <c r="B340" s="1" t="s">
        <v>349</v>
      </c>
      <c r="C340" s="1" t="s">
        <v>564</v>
      </c>
      <c r="D340" s="1" t="s">
        <v>564</v>
      </c>
    </row>
    <row r="341" spans="1:4" x14ac:dyDescent="0.2">
      <c r="A341" s="1" t="s">
        <v>353</v>
      </c>
      <c r="B341" s="1" t="s">
        <v>349</v>
      </c>
      <c r="C341" s="1" t="s">
        <v>564</v>
      </c>
      <c r="D341" s="1" t="s">
        <v>564</v>
      </c>
    </row>
    <row r="342" spans="1:4" x14ac:dyDescent="0.2">
      <c r="A342" s="1" t="s">
        <v>354</v>
      </c>
      <c r="B342" s="1" t="s">
        <v>349</v>
      </c>
      <c r="C342" s="1" t="s">
        <v>564</v>
      </c>
      <c r="D342" s="1" t="s">
        <v>564</v>
      </c>
    </row>
    <row r="343" spans="1:4" x14ac:dyDescent="0.2">
      <c r="A343" s="1" t="s">
        <v>355</v>
      </c>
      <c r="B343" s="1" t="s">
        <v>349</v>
      </c>
      <c r="C343" s="1" t="s">
        <v>564</v>
      </c>
      <c r="D343" s="1" t="s">
        <v>564</v>
      </c>
    </row>
    <row r="344" spans="1:4" x14ac:dyDescent="0.2">
      <c r="A344" s="1" t="s">
        <v>356</v>
      </c>
      <c r="B344" s="1" t="s">
        <v>349</v>
      </c>
      <c r="C344" s="1" t="s">
        <v>564</v>
      </c>
      <c r="D344" s="1" t="s">
        <v>564</v>
      </c>
    </row>
    <row r="345" spans="1:4" x14ac:dyDescent="0.2">
      <c r="A345" s="1" t="s">
        <v>357</v>
      </c>
      <c r="B345" s="1" t="s">
        <v>349</v>
      </c>
      <c r="C345" s="1" t="s">
        <v>564</v>
      </c>
      <c r="D345" s="1" t="s">
        <v>564</v>
      </c>
    </row>
    <row r="346" spans="1:4" x14ac:dyDescent="0.2">
      <c r="A346" s="1" t="s">
        <v>358</v>
      </c>
      <c r="B346" s="1" t="s">
        <v>349</v>
      </c>
      <c r="C346" s="1" t="s">
        <v>564</v>
      </c>
      <c r="D346" s="1" t="s">
        <v>564</v>
      </c>
    </row>
    <row r="347" spans="1:4" x14ac:dyDescent="0.2">
      <c r="A347" s="1" t="s">
        <v>359</v>
      </c>
      <c r="B347" s="1" t="s">
        <v>349</v>
      </c>
      <c r="C347" s="1" t="s">
        <v>564</v>
      </c>
      <c r="D347" s="1" t="s">
        <v>564</v>
      </c>
    </row>
    <row r="348" spans="1:4" x14ac:dyDescent="0.2">
      <c r="A348" s="1" t="s">
        <v>360</v>
      </c>
      <c r="B348" s="1" t="s">
        <v>349</v>
      </c>
      <c r="C348" s="1" t="s">
        <v>564</v>
      </c>
      <c r="D348" s="1" t="s">
        <v>564</v>
      </c>
    </row>
    <row r="349" spans="1:4" x14ac:dyDescent="0.2">
      <c r="A349" s="1" t="s">
        <v>361</v>
      </c>
      <c r="B349" s="1" t="s">
        <v>349</v>
      </c>
      <c r="C349" s="1" t="s">
        <v>564</v>
      </c>
      <c r="D349" s="1" t="s">
        <v>564</v>
      </c>
    </row>
    <row r="350" spans="1:4" x14ac:dyDescent="0.2">
      <c r="A350" s="1" t="s">
        <v>362</v>
      </c>
      <c r="B350" s="1" t="s">
        <v>349</v>
      </c>
      <c r="C350" s="1" t="s">
        <v>564</v>
      </c>
      <c r="D350" s="1" t="s">
        <v>564</v>
      </c>
    </row>
    <row r="351" spans="1:4" x14ac:dyDescent="0.2">
      <c r="A351" s="1" t="s">
        <v>363</v>
      </c>
      <c r="B351" s="1" t="s">
        <v>349</v>
      </c>
      <c r="C351" s="1" t="s">
        <v>564</v>
      </c>
      <c r="D351" s="1" t="s">
        <v>564</v>
      </c>
    </row>
    <row r="352" spans="1:4" x14ac:dyDescent="0.2">
      <c r="A352" s="1" t="s">
        <v>364</v>
      </c>
      <c r="B352" s="1" t="s">
        <v>349</v>
      </c>
      <c r="C352" s="1" t="s">
        <v>564</v>
      </c>
      <c r="D352" s="1" t="s">
        <v>564</v>
      </c>
    </row>
    <row r="353" spans="1:4" x14ac:dyDescent="0.2">
      <c r="A353" s="1" t="s">
        <v>365</v>
      </c>
      <c r="B353" s="1" t="s">
        <v>349</v>
      </c>
      <c r="C353" s="1" t="s">
        <v>564</v>
      </c>
      <c r="D353" s="1" t="s">
        <v>564</v>
      </c>
    </row>
    <row r="354" spans="1:4" x14ac:dyDescent="0.2">
      <c r="A354" s="1" t="s">
        <v>366</v>
      </c>
      <c r="B354" s="1" t="s">
        <v>349</v>
      </c>
      <c r="C354" s="1" t="s">
        <v>564</v>
      </c>
      <c r="D354" s="1" t="s">
        <v>564</v>
      </c>
    </row>
    <row r="355" spans="1:4" x14ac:dyDescent="0.2">
      <c r="A355" s="1" t="s">
        <v>367</v>
      </c>
      <c r="B355" s="1" t="s">
        <v>349</v>
      </c>
      <c r="C355" s="1" t="s">
        <v>564</v>
      </c>
      <c r="D355" s="1" t="s">
        <v>564</v>
      </c>
    </row>
    <row r="356" spans="1:4" x14ac:dyDescent="0.2">
      <c r="A356" s="1" t="s">
        <v>368</v>
      </c>
      <c r="B356" s="1" t="s">
        <v>349</v>
      </c>
      <c r="C356" s="1" t="s">
        <v>564</v>
      </c>
      <c r="D356" s="1" t="s">
        <v>564</v>
      </c>
    </row>
    <row r="357" spans="1:4" x14ac:dyDescent="0.2">
      <c r="A357" s="1" t="s">
        <v>369</v>
      </c>
      <c r="B357" s="1" t="s">
        <v>349</v>
      </c>
      <c r="C357" s="1" t="s">
        <v>564</v>
      </c>
      <c r="D357" s="1" t="s">
        <v>564</v>
      </c>
    </row>
    <row r="358" spans="1:4" x14ac:dyDescent="0.2">
      <c r="A358" s="1" t="s">
        <v>370</v>
      </c>
      <c r="B358" s="1" t="s">
        <v>349</v>
      </c>
      <c r="C358" s="1" t="s">
        <v>564</v>
      </c>
      <c r="D358" s="1" t="s">
        <v>564</v>
      </c>
    </row>
    <row r="359" spans="1:4" x14ac:dyDescent="0.2">
      <c r="A359" s="1" t="s">
        <v>371</v>
      </c>
      <c r="B359" s="1" t="s">
        <v>349</v>
      </c>
      <c r="C359" s="1" t="s">
        <v>564</v>
      </c>
      <c r="D359" s="1" t="s">
        <v>564</v>
      </c>
    </row>
    <row r="360" spans="1:4" x14ac:dyDescent="0.2">
      <c r="A360" s="1" t="s">
        <v>372</v>
      </c>
      <c r="B360" s="1" t="s">
        <v>349</v>
      </c>
      <c r="C360" s="1" t="s">
        <v>564</v>
      </c>
      <c r="D360" s="1" t="s">
        <v>564</v>
      </c>
    </row>
    <row r="361" spans="1:4" x14ac:dyDescent="0.2">
      <c r="A361" s="1" t="s">
        <v>373</v>
      </c>
      <c r="B361" s="1" t="s">
        <v>349</v>
      </c>
      <c r="C361" s="1" t="s">
        <v>564</v>
      </c>
      <c r="D361" s="1" t="s">
        <v>564</v>
      </c>
    </row>
    <row r="362" spans="1:4" x14ac:dyDescent="0.2">
      <c r="A362" s="1" t="s">
        <v>374</v>
      </c>
      <c r="B362" s="1" t="s">
        <v>349</v>
      </c>
      <c r="C362" s="1" t="s">
        <v>564</v>
      </c>
      <c r="D362" s="1" t="s">
        <v>564</v>
      </c>
    </row>
    <row r="363" spans="1:4" x14ac:dyDescent="0.2">
      <c r="A363" s="1" t="s">
        <v>375</v>
      </c>
      <c r="B363" s="1" t="s">
        <v>349</v>
      </c>
      <c r="C363" s="1" t="s">
        <v>564</v>
      </c>
      <c r="D363" s="1" t="s">
        <v>564</v>
      </c>
    </row>
    <row r="364" spans="1:4" x14ac:dyDescent="0.2">
      <c r="A364" s="1" t="s">
        <v>376</v>
      </c>
      <c r="B364" s="1" t="s">
        <v>377</v>
      </c>
      <c r="C364" s="1" t="s">
        <v>564</v>
      </c>
      <c r="D364" s="1" t="s">
        <v>564</v>
      </c>
    </row>
    <row r="365" spans="1:4" x14ac:dyDescent="0.2">
      <c r="A365" s="1" t="s">
        <v>378</v>
      </c>
      <c r="B365" s="1" t="s">
        <v>377</v>
      </c>
      <c r="C365" s="1" t="s">
        <v>564</v>
      </c>
      <c r="D365" s="1" t="s">
        <v>564</v>
      </c>
    </row>
    <row r="366" spans="1:4" x14ac:dyDescent="0.2">
      <c r="A366" s="1" t="s">
        <v>379</v>
      </c>
      <c r="B366" s="1" t="s">
        <v>377</v>
      </c>
      <c r="C366" s="1" t="s">
        <v>564</v>
      </c>
      <c r="D366" s="1" t="s">
        <v>564</v>
      </c>
    </row>
    <row r="367" spans="1:4" x14ac:dyDescent="0.2">
      <c r="A367" s="1" t="s">
        <v>380</v>
      </c>
      <c r="B367" s="1" t="s">
        <v>377</v>
      </c>
      <c r="C367" s="1" t="s">
        <v>564</v>
      </c>
      <c r="D367" s="1" t="s">
        <v>564</v>
      </c>
    </row>
    <row r="368" spans="1:4" x14ac:dyDescent="0.2">
      <c r="A368" s="1" t="s">
        <v>381</v>
      </c>
      <c r="B368" s="1" t="s">
        <v>377</v>
      </c>
      <c r="C368" s="1" t="s">
        <v>564</v>
      </c>
      <c r="D368" s="1" t="s">
        <v>564</v>
      </c>
    </row>
    <row r="369" spans="1:4" x14ac:dyDescent="0.2">
      <c r="A369" s="1" t="s">
        <v>382</v>
      </c>
      <c r="B369" s="1" t="s">
        <v>377</v>
      </c>
      <c r="C369" s="1" t="s">
        <v>564</v>
      </c>
      <c r="D369" s="1" t="s">
        <v>564</v>
      </c>
    </row>
    <row r="370" spans="1:4" x14ac:dyDescent="0.2">
      <c r="A370" s="1" t="s">
        <v>383</v>
      </c>
      <c r="B370" s="1" t="s">
        <v>377</v>
      </c>
      <c r="C370" s="1" t="s">
        <v>564</v>
      </c>
      <c r="D370" s="1" t="s">
        <v>564</v>
      </c>
    </row>
    <row r="371" spans="1:4" x14ac:dyDescent="0.2">
      <c r="A371" s="1" t="s">
        <v>384</v>
      </c>
      <c r="B371" s="1" t="s">
        <v>377</v>
      </c>
      <c r="C371" s="1" t="s">
        <v>564</v>
      </c>
      <c r="D371" s="1" t="s">
        <v>564</v>
      </c>
    </row>
    <row r="372" spans="1:4" x14ac:dyDescent="0.2">
      <c r="A372" s="1" t="s">
        <v>385</v>
      </c>
      <c r="B372" s="1" t="s">
        <v>377</v>
      </c>
      <c r="C372" s="1" t="s">
        <v>564</v>
      </c>
      <c r="D372" s="1" t="s">
        <v>564</v>
      </c>
    </row>
    <row r="373" spans="1:4" x14ac:dyDescent="0.2">
      <c r="A373" s="1" t="s">
        <v>386</v>
      </c>
      <c r="B373" s="1" t="s">
        <v>377</v>
      </c>
      <c r="C373" s="1" t="s">
        <v>564</v>
      </c>
      <c r="D373" s="1" t="s">
        <v>564</v>
      </c>
    </row>
    <row r="374" spans="1:4" x14ac:dyDescent="0.2">
      <c r="A374" s="1" t="s">
        <v>387</v>
      </c>
      <c r="B374" s="1" t="s">
        <v>377</v>
      </c>
      <c r="C374" s="1" t="s">
        <v>564</v>
      </c>
      <c r="D374" s="1" t="s">
        <v>564</v>
      </c>
    </row>
    <row r="375" spans="1:4" x14ac:dyDescent="0.2">
      <c r="A375" s="1" t="s">
        <v>388</v>
      </c>
      <c r="B375" s="1" t="s">
        <v>377</v>
      </c>
      <c r="C375" s="1" t="s">
        <v>564</v>
      </c>
      <c r="D375" s="1" t="s">
        <v>564</v>
      </c>
    </row>
    <row r="376" spans="1:4" x14ac:dyDescent="0.2">
      <c r="A376" s="1" t="s">
        <v>389</v>
      </c>
      <c r="B376" s="1" t="s">
        <v>377</v>
      </c>
      <c r="C376" s="1" t="s">
        <v>564</v>
      </c>
      <c r="D376" s="1" t="s">
        <v>564</v>
      </c>
    </row>
    <row r="377" spans="1:4" x14ac:dyDescent="0.2">
      <c r="A377" s="1" t="s">
        <v>390</v>
      </c>
      <c r="B377" s="1" t="s">
        <v>377</v>
      </c>
      <c r="C377" s="1" t="s">
        <v>564</v>
      </c>
      <c r="D377" s="1" t="s">
        <v>564</v>
      </c>
    </row>
    <row r="378" spans="1:4" x14ac:dyDescent="0.2">
      <c r="A378" s="1" t="s">
        <v>391</v>
      </c>
      <c r="B378" s="1" t="s">
        <v>377</v>
      </c>
      <c r="C378" s="1" t="s">
        <v>564</v>
      </c>
      <c r="D378" s="1" t="s">
        <v>564</v>
      </c>
    </row>
    <row r="379" spans="1:4" x14ac:dyDescent="0.2">
      <c r="A379" s="1" t="s">
        <v>392</v>
      </c>
      <c r="B379" s="1" t="s">
        <v>377</v>
      </c>
      <c r="C379" s="1" t="s">
        <v>564</v>
      </c>
      <c r="D379" s="1" t="s">
        <v>564</v>
      </c>
    </row>
    <row r="380" spans="1:4" x14ac:dyDescent="0.2">
      <c r="A380" s="1" t="s">
        <v>393</v>
      </c>
      <c r="B380" s="1" t="s">
        <v>377</v>
      </c>
      <c r="C380" s="1" t="s">
        <v>564</v>
      </c>
      <c r="D380" s="1" t="s">
        <v>564</v>
      </c>
    </row>
    <row r="381" spans="1:4" x14ac:dyDescent="0.2">
      <c r="A381" s="1" t="s">
        <v>394</v>
      </c>
      <c r="B381" s="1" t="s">
        <v>377</v>
      </c>
      <c r="C381" s="1" t="s">
        <v>564</v>
      </c>
      <c r="D381" s="1" t="s">
        <v>564</v>
      </c>
    </row>
    <row r="382" spans="1:4" x14ac:dyDescent="0.2">
      <c r="A382" s="1" t="s">
        <v>395</v>
      </c>
      <c r="B382" s="1" t="s">
        <v>377</v>
      </c>
      <c r="C382" s="1" t="s">
        <v>564</v>
      </c>
      <c r="D382" s="1" t="s">
        <v>564</v>
      </c>
    </row>
    <row r="383" spans="1:4" x14ac:dyDescent="0.2">
      <c r="A383" s="1" t="s">
        <v>396</v>
      </c>
      <c r="B383" s="1" t="s">
        <v>377</v>
      </c>
      <c r="C383" s="1" t="s">
        <v>564</v>
      </c>
      <c r="D383" s="1" t="s">
        <v>564</v>
      </c>
    </row>
    <row r="384" spans="1:4" x14ac:dyDescent="0.2">
      <c r="A384" s="1" t="s">
        <v>397</v>
      </c>
      <c r="B384" s="1" t="s">
        <v>377</v>
      </c>
      <c r="C384" s="1" t="s">
        <v>564</v>
      </c>
      <c r="D384" s="1" t="s">
        <v>564</v>
      </c>
    </row>
    <row r="385" spans="1:4" x14ac:dyDescent="0.2">
      <c r="A385" s="1" t="s">
        <v>398</v>
      </c>
      <c r="B385" s="1" t="s">
        <v>377</v>
      </c>
      <c r="C385" s="1" t="s">
        <v>564</v>
      </c>
      <c r="D385" s="1" t="s">
        <v>564</v>
      </c>
    </row>
    <row r="386" spans="1:4" x14ac:dyDescent="0.2">
      <c r="A386" s="1" t="s">
        <v>399</v>
      </c>
      <c r="B386" s="1" t="s">
        <v>377</v>
      </c>
      <c r="C386" s="1" t="s">
        <v>564</v>
      </c>
      <c r="D386" s="1" t="s">
        <v>564</v>
      </c>
    </row>
    <row r="387" spans="1:4" x14ac:dyDescent="0.2">
      <c r="A387" s="1" t="s">
        <v>400</v>
      </c>
      <c r="B387" s="1" t="s">
        <v>401</v>
      </c>
      <c r="C387" s="1" t="s">
        <v>564</v>
      </c>
      <c r="D387" s="1" t="s">
        <v>564</v>
      </c>
    </row>
    <row r="388" spans="1:4" x14ac:dyDescent="0.2">
      <c r="A388" s="1" t="s">
        <v>402</v>
      </c>
      <c r="B388" s="1" t="s">
        <v>403</v>
      </c>
      <c r="C388" s="1" t="s">
        <v>564</v>
      </c>
      <c r="D388" s="1" t="s">
        <v>564</v>
      </c>
    </row>
    <row r="389" spans="1:4" x14ac:dyDescent="0.2">
      <c r="A389" s="1" t="s">
        <v>404</v>
      </c>
      <c r="B389" s="1" t="s">
        <v>405</v>
      </c>
      <c r="C389" s="1" t="s">
        <v>564</v>
      </c>
      <c r="D389" s="1" t="s">
        <v>564</v>
      </c>
    </row>
    <row r="390" spans="1:4" x14ac:dyDescent="0.2">
      <c r="A390" s="1" t="s">
        <v>406</v>
      </c>
      <c r="B390" s="1" t="s">
        <v>405</v>
      </c>
      <c r="C390" s="1" t="s">
        <v>564</v>
      </c>
      <c r="D390" s="1" t="s">
        <v>564</v>
      </c>
    </row>
    <row r="391" spans="1:4" x14ac:dyDescent="0.2">
      <c r="A391" s="1" t="s">
        <v>407</v>
      </c>
      <c r="B391" s="1" t="s">
        <v>408</v>
      </c>
      <c r="C391" s="1" t="s">
        <v>564</v>
      </c>
      <c r="D391" s="1" t="s">
        <v>564</v>
      </c>
    </row>
    <row r="392" spans="1:4" x14ac:dyDescent="0.2">
      <c r="A392" s="1" t="s">
        <v>409</v>
      </c>
      <c r="B392" s="1" t="s">
        <v>408</v>
      </c>
      <c r="C392" s="1" t="s">
        <v>564</v>
      </c>
      <c r="D392" s="1" t="s">
        <v>564</v>
      </c>
    </row>
    <row r="393" spans="1:4" x14ac:dyDescent="0.2">
      <c r="A393" s="1" t="s">
        <v>410</v>
      </c>
      <c r="B393" s="1" t="s">
        <v>408</v>
      </c>
      <c r="C393" s="1" t="s">
        <v>564</v>
      </c>
      <c r="D393" s="1" t="s">
        <v>564</v>
      </c>
    </row>
    <row r="394" spans="1:4" x14ac:dyDescent="0.2">
      <c r="A394" s="1" t="s">
        <v>411</v>
      </c>
      <c r="B394" s="1" t="s">
        <v>408</v>
      </c>
      <c r="C394" s="1" t="s">
        <v>564</v>
      </c>
      <c r="D394" s="1" t="s">
        <v>564</v>
      </c>
    </row>
    <row r="395" spans="1:4" x14ac:dyDescent="0.2">
      <c r="A395" s="1" t="s">
        <v>412</v>
      </c>
      <c r="B395" s="1" t="s">
        <v>408</v>
      </c>
      <c r="C395" s="1" t="s">
        <v>564</v>
      </c>
      <c r="D395" s="1" t="s">
        <v>564</v>
      </c>
    </row>
    <row r="396" spans="1:4" x14ac:dyDescent="0.2">
      <c r="A396" s="1" t="s">
        <v>413</v>
      </c>
      <c r="B396" s="1" t="s">
        <v>408</v>
      </c>
      <c r="C396" s="1" t="s">
        <v>564</v>
      </c>
      <c r="D396" s="1" t="s">
        <v>564</v>
      </c>
    </row>
    <row r="397" spans="1:4" x14ac:dyDescent="0.2">
      <c r="A397" s="1" t="s">
        <v>414</v>
      </c>
      <c r="B397" s="1" t="s">
        <v>408</v>
      </c>
      <c r="C397" s="1" t="s">
        <v>564</v>
      </c>
      <c r="D397" s="1" t="s">
        <v>564</v>
      </c>
    </row>
    <row r="398" spans="1:4" x14ac:dyDescent="0.2">
      <c r="A398" s="1" t="s">
        <v>415</v>
      </c>
      <c r="B398" s="1" t="s">
        <v>408</v>
      </c>
      <c r="C398" s="1" t="s">
        <v>564</v>
      </c>
      <c r="D398" s="1" t="s">
        <v>564</v>
      </c>
    </row>
    <row r="399" spans="1:4" x14ac:dyDescent="0.2">
      <c r="A399" s="1" t="s">
        <v>416</v>
      </c>
      <c r="B399" s="1" t="s">
        <v>408</v>
      </c>
      <c r="C399" s="1" t="s">
        <v>564</v>
      </c>
      <c r="D399" s="1" t="s">
        <v>564</v>
      </c>
    </row>
    <row r="400" spans="1:4" x14ac:dyDescent="0.2">
      <c r="A400" s="1" t="s">
        <v>417</v>
      </c>
      <c r="B400" s="1" t="s">
        <v>408</v>
      </c>
      <c r="C400" s="1" t="s">
        <v>564</v>
      </c>
      <c r="D400" s="1" t="s">
        <v>564</v>
      </c>
    </row>
    <row r="401" spans="1:4" x14ac:dyDescent="0.2">
      <c r="A401" s="1" t="s">
        <v>418</v>
      </c>
      <c r="B401" s="1" t="s">
        <v>408</v>
      </c>
      <c r="C401" s="1" t="s">
        <v>564</v>
      </c>
      <c r="D401" s="1" t="s">
        <v>564</v>
      </c>
    </row>
    <row r="402" spans="1:4" x14ac:dyDescent="0.2">
      <c r="A402" s="1" t="s">
        <v>419</v>
      </c>
      <c r="B402" s="1" t="s">
        <v>420</v>
      </c>
      <c r="C402" s="1" t="s">
        <v>564</v>
      </c>
      <c r="D402" s="1" t="s">
        <v>564</v>
      </c>
    </row>
    <row r="403" spans="1:4" x14ac:dyDescent="0.2">
      <c r="A403" s="1" t="s">
        <v>421</v>
      </c>
      <c r="B403" s="1" t="s">
        <v>420</v>
      </c>
      <c r="C403" s="1" t="s">
        <v>564</v>
      </c>
      <c r="D403" s="1" t="s">
        <v>564</v>
      </c>
    </row>
    <row r="404" spans="1:4" x14ac:dyDescent="0.2">
      <c r="A404" s="1" t="s">
        <v>422</v>
      </c>
      <c r="B404" s="1" t="s">
        <v>420</v>
      </c>
      <c r="C404" s="1" t="s">
        <v>564</v>
      </c>
      <c r="D404" s="1" t="s">
        <v>564</v>
      </c>
    </row>
    <row r="405" spans="1:4" x14ac:dyDescent="0.2">
      <c r="A405" s="1" t="s">
        <v>423</v>
      </c>
      <c r="B405" s="1" t="s">
        <v>420</v>
      </c>
      <c r="C405" s="1" t="s">
        <v>564</v>
      </c>
      <c r="D405" s="1" t="s">
        <v>564</v>
      </c>
    </row>
    <row r="406" spans="1:4" x14ac:dyDescent="0.2">
      <c r="A406" s="1" t="s">
        <v>424</v>
      </c>
      <c r="B406" s="1" t="s">
        <v>420</v>
      </c>
      <c r="C406" s="1" t="s">
        <v>564</v>
      </c>
      <c r="D406" s="1" t="s">
        <v>564</v>
      </c>
    </row>
    <row r="407" spans="1:4" x14ac:dyDescent="0.2">
      <c r="A407" s="1" t="s">
        <v>425</v>
      </c>
      <c r="B407" s="1" t="s">
        <v>426</v>
      </c>
      <c r="C407" s="1" t="s">
        <v>564</v>
      </c>
      <c r="D407" s="1" t="s">
        <v>564</v>
      </c>
    </row>
    <row r="408" spans="1:4" x14ac:dyDescent="0.2">
      <c r="A408" s="1" t="s">
        <v>427</v>
      </c>
      <c r="B408" s="1" t="s">
        <v>426</v>
      </c>
      <c r="C408" s="1" t="s">
        <v>564</v>
      </c>
      <c r="D408" s="1" t="s">
        <v>564</v>
      </c>
    </row>
    <row r="409" spans="1:4" x14ac:dyDescent="0.2">
      <c r="A409" s="1" t="s">
        <v>428</v>
      </c>
      <c r="B409" s="1" t="s">
        <v>426</v>
      </c>
      <c r="C409" s="1" t="s">
        <v>564</v>
      </c>
      <c r="D409" s="1" t="s">
        <v>564</v>
      </c>
    </row>
    <row r="410" spans="1:4" x14ac:dyDescent="0.2">
      <c r="A410" s="1" t="s">
        <v>429</v>
      </c>
      <c r="B410" s="1" t="s">
        <v>430</v>
      </c>
      <c r="C410" s="1" t="s">
        <v>564</v>
      </c>
      <c r="D410" s="1" t="s">
        <v>564</v>
      </c>
    </row>
    <row r="411" spans="1:4" x14ac:dyDescent="0.2">
      <c r="A411" s="1" t="s">
        <v>431</v>
      </c>
      <c r="B411" s="1" t="s">
        <v>432</v>
      </c>
      <c r="C411" s="1" t="s">
        <v>564</v>
      </c>
      <c r="D411" s="1" t="s">
        <v>564</v>
      </c>
    </row>
    <row r="412" spans="1:4" x14ac:dyDescent="0.2">
      <c r="A412" s="1" t="s">
        <v>433</v>
      </c>
      <c r="B412" s="1" t="s">
        <v>432</v>
      </c>
      <c r="C412" s="1" t="s">
        <v>564</v>
      </c>
      <c r="D412" s="1" t="s">
        <v>564</v>
      </c>
    </row>
    <row r="413" spans="1:4" x14ac:dyDescent="0.2">
      <c r="A413" s="1" t="s">
        <v>434</v>
      </c>
      <c r="B413" s="1" t="s">
        <v>432</v>
      </c>
      <c r="C413" s="1" t="s">
        <v>564</v>
      </c>
      <c r="D413" s="1" t="s">
        <v>564</v>
      </c>
    </row>
    <row r="414" spans="1:4" x14ac:dyDescent="0.2">
      <c r="A414" s="1" t="s">
        <v>435</v>
      </c>
      <c r="B414" s="1" t="s">
        <v>436</v>
      </c>
      <c r="C414" s="1" t="s">
        <v>564</v>
      </c>
      <c r="D414" s="1" t="s">
        <v>564</v>
      </c>
    </row>
    <row r="415" spans="1:4" x14ac:dyDescent="0.2">
      <c r="A415" s="1" t="s">
        <v>437</v>
      </c>
      <c r="B415" s="1" t="s">
        <v>436</v>
      </c>
      <c r="C415" s="1" t="s">
        <v>564</v>
      </c>
      <c r="D415" s="1" t="s">
        <v>564</v>
      </c>
    </row>
    <row r="416" spans="1:4" x14ac:dyDescent="0.2">
      <c r="A416" s="1" t="s">
        <v>438</v>
      </c>
      <c r="B416" s="1" t="s">
        <v>439</v>
      </c>
      <c r="C416" s="1" t="s">
        <v>564</v>
      </c>
      <c r="D416" s="1" t="s">
        <v>564</v>
      </c>
    </row>
    <row r="417" spans="1:4" x14ac:dyDescent="0.2">
      <c r="A417" s="1" t="s">
        <v>440</v>
      </c>
      <c r="B417" s="1" t="s">
        <v>439</v>
      </c>
      <c r="C417" s="1" t="s">
        <v>564</v>
      </c>
      <c r="D417" s="1" t="s">
        <v>564</v>
      </c>
    </row>
    <row r="418" spans="1:4" x14ac:dyDescent="0.2">
      <c r="A418" s="1" t="s">
        <v>441</v>
      </c>
      <c r="B418" s="1" t="s">
        <v>439</v>
      </c>
      <c r="C418" s="1" t="s">
        <v>564</v>
      </c>
      <c r="D418" s="1" t="s">
        <v>564</v>
      </c>
    </row>
    <row r="419" spans="1:4" x14ac:dyDescent="0.2">
      <c r="A419" s="1" t="s">
        <v>442</v>
      </c>
      <c r="B419" s="1" t="s">
        <v>439</v>
      </c>
      <c r="C419" s="1" t="s">
        <v>564</v>
      </c>
      <c r="D419" s="1" t="s">
        <v>564</v>
      </c>
    </row>
    <row r="420" spans="1:4" x14ac:dyDescent="0.2">
      <c r="A420" s="1" t="s">
        <v>443</v>
      </c>
      <c r="B420" s="1" t="s">
        <v>439</v>
      </c>
      <c r="C420" s="1" t="s">
        <v>564</v>
      </c>
      <c r="D420" s="1" t="s">
        <v>564</v>
      </c>
    </row>
    <row r="421" spans="1:4" x14ac:dyDescent="0.2">
      <c r="A421" s="1" t="s">
        <v>444</v>
      </c>
      <c r="B421" s="1" t="s">
        <v>439</v>
      </c>
      <c r="C421" s="1" t="s">
        <v>564</v>
      </c>
      <c r="D421" s="1" t="s">
        <v>564</v>
      </c>
    </row>
    <row r="422" spans="1:4" x14ac:dyDescent="0.2">
      <c r="A422" s="1" t="s">
        <v>445</v>
      </c>
      <c r="B422" s="1" t="s">
        <v>439</v>
      </c>
      <c r="C422" s="1" t="s">
        <v>564</v>
      </c>
      <c r="D422" s="1" t="s">
        <v>564</v>
      </c>
    </row>
    <row r="423" spans="1:4" x14ac:dyDescent="0.2">
      <c r="A423" s="1" t="s">
        <v>446</v>
      </c>
      <c r="B423" s="1" t="s">
        <v>439</v>
      </c>
      <c r="C423" s="1" t="s">
        <v>564</v>
      </c>
      <c r="D423" s="1" t="s">
        <v>564</v>
      </c>
    </row>
    <row r="424" spans="1:4" x14ac:dyDescent="0.2">
      <c r="A424" s="1" t="s">
        <v>447</v>
      </c>
      <c r="B424" s="1" t="s">
        <v>439</v>
      </c>
      <c r="C424" s="1" t="s">
        <v>564</v>
      </c>
      <c r="D424" s="1" t="s">
        <v>564</v>
      </c>
    </row>
    <row r="425" spans="1:4" x14ac:dyDescent="0.2">
      <c r="A425" s="1" t="s">
        <v>448</v>
      </c>
      <c r="B425" s="1" t="s">
        <v>439</v>
      </c>
      <c r="C425" s="1" t="s">
        <v>564</v>
      </c>
      <c r="D425" s="1" t="s">
        <v>564</v>
      </c>
    </row>
    <row r="426" spans="1:4" x14ac:dyDescent="0.2">
      <c r="A426" s="1" t="s">
        <v>449</v>
      </c>
      <c r="B426" s="1" t="s">
        <v>450</v>
      </c>
      <c r="C426" s="1" t="s">
        <v>564</v>
      </c>
      <c r="D426" s="1" t="s">
        <v>564</v>
      </c>
    </row>
    <row r="427" spans="1:4" x14ac:dyDescent="0.2">
      <c r="A427" s="1" t="s">
        <v>451</v>
      </c>
      <c r="B427" s="1" t="s">
        <v>450</v>
      </c>
      <c r="C427" s="1" t="s">
        <v>564</v>
      </c>
      <c r="D427" s="1" t="s">
        <v>564</v>
      </c>
    </row>
    <row r="428" spans="1:4" x14ac:dyDescent="0.2">
      <c r="A428" s="1" t="s">
        <v>452</v>
      </c>
      <c r="B428" s="1" t="s">
        <v>450</v>
      </c>
      <c r="C428" s="1" t="s">
        <v>564</v>
      </c>
      <c r="D428" s="1" t="s">
        <v>564</v>
      </c>
    </row>
    <row r="429" spans="1:4" x14ac:dyDescent="0.2">
      <c r="A429" s="1" t="s">
        <v>453</v>
      </c>
      <c r="B429" s="1" t="s">
        <v>450</v>
      </c>
      <c r="C429" s="1" t="s">
        <v>564</v>
      </c>
      <c r="D429" s="1" t="s">
        <v>564</v>
      </c>
    </row>
    <row r="430" spans="1:4" x14ac:dyDescent="0.2">
      <c r="A430" s="1" t="s">
        <v>454</v>
      </c>
      <c r="B430" s="1" t="s">
        <v>455</v>
      </c>
      <c r="C430" s="1" t="s">
        <v>564</v>
      </c>
      <c r="D430" s="1" t="s">
        <v>564</v>
      </c>
    </row>
    <row r="431" spans="1:4" x14ac:dyDescent="0.2">
      <c r="A431" s="1" t="s">
        <v>456</v>
      </c>
      <c r="B431" s="1" t="s">
        <v>457</v>
      </c>
      <c r="C431" s="1" t="s">
        <v>564</v>
      </c>
      <c r="D431" s="1" t="s">
        <v>564</v>
      </c>
    </row>
    <row r="432" spans="1:4" x14ac:dyDescent="0.2">
      <c r="A432" s="1" t="s">
        <v>458</v>
      </c>
      <c r="B432" s="1" t="s">
        <v>457</v>
      </c>
      <c r="C432" s="1" t="s">
        <v>564</v>
      </c>
      <c r="D432" s="1" t="s">
        <v>564</v>
      </c>
    </row>
    <row r="433" spans="1:4" x14ac:dyDescent="0.2">
      <c r="A433" s="1" t="s">
        <v>459</v>
      </c>
      <c r="B433" s="1" t="s">
        <v>457</v>
      </c>
      <c r="C433" s="1" t="s">
        <v>564</v>
      </c>
      <c r="D433" s="1" t="s">
        <v>564</v>
      </c>
    </row>
    <row r="434" spans="1:4" x14ac:dyDescent="0.2">
      <c r="A434" s="1" t="s">
        <v>460</v>
      </c>
      <c r="B434" s="1" t="s">
        <v>457</v>
      </c>
      <c r="C434" s="1" t="s">
        <v>564</v>
      </c>
      <c r="D434" s="1" t="s">
        <v>564</v>
      </c>
    </row>
    <row r="435" spans="1:4" x14ac:dyDescent="0.2">
      <c r="A435" s="1" t="s">
        <v>461</v>
      </c>
      <c r="B435" s="1" t="s">
        <v>457</v>
      </c>
      <c r="C435" s="1" t="s">
        <v>564</v>
      </c>
      <c r="D435" s="1" t="s">
        <v>564</v>
      </c>
    </row>
    <row r="436" spans="1:4" x14ac:dyDescent="0.2">
      <c r="A436" s="1" t="s">
        <v>462</v>
      </c>
      <c r="B436" s="1" t="s">
        <v>457</v>
      </c>
      <c r="C436" s="1" t="s">
        <v>564</v>
      </c>
      <c r="D436" s="1" t="s">
        <v>564</v>
      </c>
    </row>
    <row r="437" spans="1:4" x14ac:dyDescent="0.2">
      <c r="A437" s="1" t="s">
        <v>463</v>
      </c>
      <c r="B437" s="1" t="s">
        <v>464</v>
      </c>
      <c r="C437" s="1" t="s">
        <v>564</v>
      </c>
      <c r="D437" s="1" t="s">
        <v>564</v>
      </c>
    </row>
    <row r="438" spans="1:4" x14ac:dyDescent="0.2">
      <c r="A438" s="1" t="s">
        <v>465</v>
      </c>
      <c r="B438" s="1" t="s">
        <v>464</v>
      </c>
      <c r="C438" s="1" t="s">
        <v>564</v>
      </c>
      <c r="D438" s="1" t="s">
        <v>564</v>
      </c>
    </row>
    <row r="439" spans="1:4" x14ac:dyDescent="0.2">
      <c r="A439" s="1" t="s">
        <v>466</v>
      </c>
      <c r="B439" s="1" t="s">
        <v>464</v>
      </c>
      <c r="C439" s="1" t="s">
        <v>564</v>
      </c>
      <c r="D439" s="1" t="s">
        <v>564</v>
      </c>
    </row>
    <row r="440" spans="1:4" x14ac:dyDescent="0.2">
      <c r="A440" s="1" t="s">
        <v>467</v>
      </c>
      <c r="B440" s="1" t="s">
        <v>464</v>
      </c>
      <c r="C440" s="1" t="s">
        <v>564</v>
      </c>
      <c r="D440" s="1" t="s">
        <v>564</v>
      </c>
    </row>
    <row r="441" spans="1:4" x14ac:dyDescent="0.2">
      <c r="A441" s="1" t="s">
        <v>468</v>
      </c>
      <c r="B441" s="1" t="s">
        <v>464</v>
      </c>
      <c r="C441" s="1" t="s">
        <v>564</v>
      </c>
      <c r="D441" s="1" t="s">
        <v>564</v>
      </c>
    </row>
    <row r="442" spans="1:4" x14ac:dyDescent="0.2">
      <c r="A442" s="1" t="s">
        <v>469</v>
      </c>
      <c r="B442" s="1" t="s">
        <v>464</v>
      </c>
      <c r="C442" s="1" t="s">
        <v>564</v>
      </c>
      <c r="D442" s="1" t="s">
        <v>564</v>
      </c>
    </row>
    <row r="443" spans="1:4" x14ac:dyDescent="0.2">
      <c r="A443" s="1" t="s">
        <v>470</v>
      </c>
      <c r="B443" s="1" t="s">
        <v>471</v>
      </c>
      <c r="C443" s="1" t="s">
        <v>564</v>
      </c>
      <c r="D443" s="1" t="s">
        <v>564</v>
      </c>
    </row>
    <row r="444" spans="1:4" x14ac:dyDescent="0.2">
      <c r="A444" s="1" t="s">
        <v>472</v>
      </c>
      <c r="B444" s="1" t="s">
        <v>471</v>
      </c>
      <c r="C444" s="1" t="s">
        <v>564</v>
      </c>
      <c r="D444" s="1" t="s">
        <v>564</v>
      </c>
    </row>
    <row r="445" spans="1:4" x14ac:dyDescent="0.2">
      <c r="A445" s="1" t="s">
        <v>473</v>
      </c>
      <c r="B445" s="1" t="s">
        <v>471</v>
      </c>
      <c r="C445" s="1" t="s">
        <v>564</v>
      </c>
      <c r="D445" s="1" t="s">
        <v>564</v>
      </c>
    </row>
    <row r="446" spans="1:4" x14ac:dyDescent="0.2">
      <c r="A446" s="1" t="s">
        <v>474</v>
      </c>
      <c r="B446" s="1" t="s">
        <v>471</v>
      </c>
      <c r="C446" s="1" t="s">
        <v>564</v>
      </c>
      <c r="D446" s="1" t="s">
        <v>564</v>
      </c>
    </row>
    <row r="447" spans="1:4" x14ac:dyDescent="0.2">
      <c r="A447" s="1" t="s">
        <v>475</v>
      </c>
      <c r="B447" s="1" t="s">
        <v>471</v>
      </c>
      <c r="C447" s="1" t="s">
        <v>564</v>
      </c>
      <c r="D447" s="1" t="s">
        <v>564</v>
      </c>
    </row>
    <row r="448" spans="1:4" x14ac:dyDescent="0.2">
      <c r="A448" s="1" t="s">
        <v>476</v>
      </c>
      <c r="B448" s="1" t="s">
        <v>477</v>
      </c>
      <c r="C448" s="1" t="s">
        <v>564</v>
      </c>
      <c r="D448" s="1" t="s">
        <v>564</v>
      </c>
    </row>
    <row r="449" spans="1:4" x14ac:dyDescent="0.2">
      <c r="A449" s="1" t="s">
        <v>478</v>
      </c>
      <c r="B449" s="1" t="s">
        <v>477</v>
      </c>
      <c r="C449" s="1" t="s">
        <v>564</v>
      </c>
      <c r="D449" s="1" t="s">
        <v>564</v>
      </c>
    </row>
    <row r="450" spans="1:4" x14ac:dyDescent="0.2">
      <c r="A450" s="1" t="s">
        <v>479</v>
      </c>
      <c r="B450" s="1" t="s">
        <v>477</v>
      </c>
      <c r="C450" s="1" t="s">
        <v>564</v>
      </c>
      <c r="D450" s="1" t="s">
        <v>564</v>
      </c>
    </row>
    <row r="451" spans="1:4" x14ac:dyDescent="0.2">
      <c r="A451" s="1" t="s">
        <v>480</v>
      </c>
      <c r="B451" s="1" t="s">
        <v>477</v>
      </c>
      <c r="C451" s="1" t="s">
        <v>564</v>
      </c>
      <c r="D451" s="1" t="s">
        <v>564</v>
      </c>
    </row>
    <row r="452" spans="1:4" x14ac:dyDescent="0.2">
      <c r="A452" s="1" t="s">
        <v>481</v>
      </c>
      <c r="B452" s="1" t="s">
        <v>477</v>
      </c>
      <c r="C452" s="1" t="s">
        <v>564</v>
      </c>
      <c r="D452" s="1" t="s">
        <v>564</v>
      </c>
    </row>
    <row r="453" spans="1:4" x14ac:dyDescent="0.2">
      <c r="A453" s="1" t="s">
        <v>482</v>
      </c>
      <c r="B453" s="1" t="s">
        <v>483</v>
      </c>
      <c r="C453" s="1" t="s">
        <v>564</v>
      </c>
      <c r="D453" s="1" t="s">
        <v>564</v>
      </c>
    </row>
    <row r="454" spans="1:4" x14ac:dyDescent="0.2">
      <c r="A454" s="1" t="s">
        <v>484</v>
      </c>
      <c r="B454" s="1" t="s">
        <v>483</v>
      </c>
      <c r="C454" s="1" t="s">
        <v>564</v>
      </c>
      <c r="D454" s="1" t="s">
        <v>564</v>
      </c>
    </row>
    <row r="455" spans="1:4" x14ac:dyDescent="0.2">
      <c r="A455" s="1" t="s">
        <v>485</v>
      </c>
      <c r="B455" s="1" t="s">
        <v>483</v>
      </c>
      <c r="C455" s="1" t="s">
        <v>564</v>
      </c>
      <c r="D455" s="1" t="s">
        <v>564</v>
      </c>
    </row>
    <row r="456" spans="1:4" x14ac:dyDescent="0.2">
      <c r="A456" s="1" t="s">
        <v>486</v>
      </c>
      <c r="B456" s="1" t="s">
        <v>483</v>
      </c>
      <c r="C456" s="1" t="s">
        <v>564</v>
      </c>
      <c r="D456" s="1" t="s">
        <v>564</v>
      </c>
    </row>
    <row r="457" spans="1:4" x14ac:dyDescent="0.2">
      <c r="A457" s="1" t="s">
        <v>487</v>
      </c>
      <c r="B457" s="1" t="s">
        <v>483</v>
      </c>
      <c r="C457" s="1" t="s">
        <v>564</v>
      </c>
      <c r="D457" s="1" t="s">
        <v>564</v>
      </c>
    </row>
    <row r="458" spans="1:4" x14ac:dyDescent="0.2">
      <c r="A458" s="1" t="s">
        <v>488</v>
      </c>
      <c r="B458" s="1" t="s">
        <v>483</v>
      </c>
      <c r="C458" s="1" t="s">
        <v>564</v>
      </c>
      <c r="D458" s="1" t="s">
        <v>564</v>
      </c>
    </row>
    <row r="459" spans="1:4" x14ac:dyDescent="0.2">
      <c r="A459" s="1" t="s">
        <v>489</v>
      </c>
      <c r="B459" s="1" t="s">
        <v>483</v>
      </c>
      <c r="C459" s="1" t="s">
        <v>564</v>
      </c>
      <c r="D459" s="1" t="s">
        <v>564</v>
      </c>
    </row>
    <row r="460" spans="1:4" x14ac:dyDescent="0.2">
      <c r="A460" s="1" t="s">
        <v>490</v>
      </c>
      <c r="B460" s="1" t="s">
        <v>483</v>
      </c>
      <c r="C460" s="1" t="s">
        <v>564</v>
      </c>
      <c r="D460" s="1" t="s">
        <v>564</v>
      </c>
    </row>
    <row r="461" spans="1:4" x14ac:dyDescent="0.2">
      <c r="A461" s="1" t="s">
        <v>491</v>
      </c>
      <c r="B461" s="1" t="s">
        <v>483</v>
      </c>
      <c r="C461" s="1" t="s">
        <v>564</v>
      </c>
      <c r="D461" s="1" t="s">
        <v>564</v>
      </c>
    </row>
    <row r="462" spans="1:4" x14ac:dyDescent="0.2">
      <c r="A462" s="1" t="s">
        <v>492</v>
      </c>
      <c r="B462" s="1" t="s">
        <v>483</v>
      </c>
      <c r="C462" s="1" t="s">
        <v>564</v>
      </c>
      <c r="D462" s="1" t="s">
        <v>564</v>
      </c>
    </row>
    <row r="463" spans="1:4" x14ac:dyDescent="0.2">
      <c r="A463" s="1" t="s">
        <v>493</v>
      </c>
      <c r="B463" s="1" t="s">
        <v>483</v>
      </c>
      <c r="C463" s="1" t="s">
        <v>564</v>
      </c>
      <c r="D463" s="1" t="s">
        <v>564</v>
      </c>
    </row>
    <row r="464" spans="1:4" x14ac:dyDescent="0.2">
      <c r="A464" s="1" t="s">
        <v>494</v>
      </c>
      <c r="B464" s="1" t="s">
        <v>483</v>
      </c>
      <c r="C464" s="1" t="s">
        <v>564</v>
      </c>
      <c r="D464" s="1" t="s">
        <v>564</v>
      </c>
    </row>
    <row r="465" spans="1:4" x14ac:dyDescent="0.2">
      <c r="A465" s="1" t="s">
        <v>495</v>
      </c>
      <c r="B465" s="1" t="s">
        <v>483</v>
      </c>
      <c r="C465" s="1" t="s">
        <v>564</v>
      </c>
      <c r="D465" s="1" t="s">
        <v>564</v>
      </c>
    </row>
    <row r="466" spans="1:4" x14ac:dyDescent="0.2">
      <c r="A466" s="1" t="s">
        <v>496</v>
      </c>
      <c r="B466" s="1" t="s">
        <v>483</v>
      </c>
      <c r="C466" s="1" t="s">
        <v>564</v>
      </c>
      <c r="D466" s="1" t="s">
        <v>564</v>
      </c>
    </row>
    <row r="467" spans="1:4" x14ac:dyDescent="0.2">
      <c r="A467" s="1" t="s">
        <v>497</v>
      </c>
      <c r="B467" s="1" t="s">
        <v>483</v>
      </c>
      <c r="C467" s="1" t="s">
        <v>564</v>
      </c>
      <c r="D467" s="1" t="s">
        <v>564</v>
      </c>
    </row>
    <row r="468" spans="1:4" x14ac:dyDescent="0.2">
      <c r="A468" s="1" t="s">
        <v>498</v>
      </c>
      <c r="B468" s="1" t="s">
        <v>483</v>
      </c>
      <c r="C468" s="1" t="s">
        <v>564</v>
      </c>
      <c r="D468" s="1" t="s">
        <v>564</v>
      </c>
    </row>
    <row r="469" spans="1:4" x14ac:dyDescent="0.2">
      <c r="A469" s="1" t="s">
        <v>499</v>
      </c>
      <c r="B469" s="1" t="s">
        <v>483</v>
      </c>
      <c r="C469" s="1" t="s">
        <v>564</v>
      </c>
      <c r="D469" s="1" t="s">
        <v>564</v>
      </c>
    </row>
    <row r="470" spans="1:4" x14ac:dyDescent="0.2">
      <c r="A470" s="1" t="s">
        <v>500</v>
      </c>
      <c r="B470" s="1" t="s">
        <v>483</v>
      </c>
      <c r="C470" s="1" t="s">
        <v>564</v>
      </c>
      <c r="D470" s="1" t="s">
        <v>564</v>
      </c>
    </row>
    <row r="471" spans="1:4" x14ac:dyDescent="0.2">
      <c r="A471" s="1" t="s">
        <v>501</v>
      </c>
      <c r="B471" s="1" t="s">
        <v>483</v>
      </c>
      <c r="C471" s="1" t="s">
        <v>564</v>
      </c>
      <c r="D471" s="1" t="s">
        <v>564</v>
      </c>
    </row>
    <row r="472" spans="1:4" x14ac:dyDescent="0.2">
      <c r="A472" s="1" t="s">
        <v>502</v>
      </c>
      <c r="B472" s="1" t="s">
        <v>483</v>
      </c>
      <c r="C472" s="1" t="s">
        <v>564</v>
      </c>
      <c r="D472" s="1" t="s">
        <v>564</v>
      </c>
    </row>
    <row r="473" spans="1:4" x14ac:dyDescent="0.2">
      <c r="A473" s="1" t="s">
        <v>503</v>
      </c>
      <c r="B473" s="1" t="s">
        <v>483</v>
      </c>
      <c r="C473" s="1" t="s">
        <v>564</v>
      </c>
      <c r="D473" s="1" t="s">
        <v>564</v>
      </c>
    </row>
    <row r="474" spans="1:4" x14ac:dyDescent="0.2">
      <c r="A474" s="1" t="s">
        <v>504</v>
      </c>
      <c r="B474" s="1" t="s">
        <v>483</v>
      </c>
      <c r="C474" s="1" t="s">
        <v>564</v>
      </c>
      <c r="D474" s="1" t="s">
        <v>564</v>
      </c>
    </row>
    <row r="475" spans="1:4" x14ac:dyDescent="0.2">
      <c r="A475" s="1" t="s">
        <v>505</v>
      </c>
      <c r="B475" s="1" t="s">
        <v>483</v>
      </c>
      <c r="C475" s="1" t="s">
        <v>564</v>
      </c>
      <c r="D475" s="1" t="s">
        <v>564</v>
      </c>
    </row>
    <row r="476" spans="1:4" x14ac:dyDescent="0.2">
      <c r="A476" s="1" t="s">
        <v>506</v>
      </c>
      <c r="B476" s="1" t="s">
        <v>483</v>
      </c>
      <c r="C476" s="1" t="s">
        <v>564</v>
      </c>
      <c r="D476" s="1" t="s">
        <v>564</v>
      </c>
    </row>
    <row r="477" spans="1:4" x14ac:dyDescent="0.2">
      <c r="A477" s="1" t="s">
        <v>507</v>
      </c>
      <c r="B477" s="1" t="s">
        <v>483</v>
      </c>
      <c r="C477" s="1" t="s">
        <v>564</v>
      </c>
      <c r="D477" s="1" t="s">
        <v>564</v>
      </c>
    </row>
    <row r="478" spans="1:4" x14ac:dyDescent="0.2">
      <c r="A478" s="1" t="s">
        <v>508</v>
      </c>
      <c r="B478" s="1" t="s">
        <v>483</v>
      </c>
      <c r="C478" s="1" t="s">
        <v>564</v>
      </c>
      <c r="D478" s="1" t="s">
        <v>564</v>
      </c>
    </row>
    <row r="479" spans="1:4" x14ac:dyDescent="0.2">
      <c r="A479" s="1" t="s">
        <v>509</v>
      </c>
      <c r="B479" s="1" t="s">
        <v>483</v>
      </c>
      <c r="C479" s="1" t="s">
        <v>564</v>
      </c>
      <c r="D479" s="1" t="s">
        <v>564</v>
      </c>
    </row>
    <row r="480" spans="1:4" x14ac:dyDescent="0.2">
      <c r="A480" s="1" t="s">
        <v>510</v>
      </c>
      <c r="B480" s="1" t="s">
        <v>483</v>
      </c>
      <c r="C480" s="1" t="s">
        <v>564</v>
      </c>
      <c r="D480" s="1" t="s">
        <v>564</v>
      </c>
    </row>
    <row r="481" spans="1:4" x14ac:dyDescent="0.2">
      <c r="A481" s="1" t="s">
        <v>511</v>
      </c>
      <c r="B481" s="1" t="s">
        <v>483</v>
      </c>
      <c r="C481" s="1" t="s">
        <v>564</v>
      </c>
      <c r="D481" s="1" t="s">
        <v>564</v>
      </c>
    </row>
    <row r="482" spans="1:4" x14ac:dyDescent="0.2">
      <c r="A482" s="1" t="s">
        <v>512</v>
      </c>
      <c r="B482" s="1" t="s">
        <v>483</v>
      </c>
      <c r="C482" s="1" t="s">
        <v>564</v>
      </c>
      <c r="D482" s="1" t="s">
        <v>564</v>
      </c>
    </row>
    <row r="483" spans="1:4" x14ac:dyDescent="0.2">
      <c r="A483" s="1" t="s">
        <v>513</v>
      </c>
      <c r="B483" s="1" t="s">
        <v>483</v>
      </c>
      <c r="C483" s="1" t="s">
        <v>564</v>
      </c>
      <c r="D483" s="1" t="s">
        <v>564</v>
      </c>
    </row>
    <row r="484" spans="1:4" x14ac:dyDescent="0.2">
      <c r="A484" s="1" t="s">
        <v>514</v>
      </c>
      <c r="B484" s="1" t="s">
        <v>483</v>
      </c>
      <c r="C484" s="1" t="s">
        <v>564</v>
      </c>
      <c r="D484" s="1" t="s">
        <v>564</v>
      </c>
    </row>
    <row r="485" spans="1:4" x14ac:dyDescent="0.2">
      <c r="A485" s="1" t="s">
        <v>515</v>
      </c>
      <c r="B485" s="1" t="s">
        <v>483</v>
      </c>
      <c r="C485" s="1" t="s">
        <v>564</v>
      </c>
      <c r="D485" s="1" t="s">
        <v>564</v>
      </c>
    </row>
    <row r="486" spans="1:4" x14ac:dyDescent="0.2">
      <c r="A486" s="1" t="s">
        <v>516</v>
      </c>
      <c r="B486" s="1" t="s">
        <v>483</v>
      </c>
      <c r="C486" s="1" t="s">
        <v>564</v>
      </c>
      <c r="D486" s="1" t="s">
        <v>564</v>
      </c>
    </row>
    <row r="487" spans="1:4" x14ac:dyDescent="0.2">
      <c r="A487" s="1" t="s">
        <v>517</v>
      </c>
      <c r="B487" s="1" t="s">
        <v>483</v>
      </c>
      <c r="C487" s="1" t="s">
        <v>564</v>
      </c>
      <c r="D487" s="1" t="s">
        <v>564</v>
      </c>
    </row>
    <row r="488" spans="1:4" x14ac:dyDescent="0.2">
      <c r="A488" s="1" t="s">
        <v>518</v>
      </c>
      <c r="B488" s="1" t="s">
        <v>483</v>
      </c>
      <c r="C488" s="1" t="s">
        <v>564</v>
      </c>
      <c r="D488" s="1" t="s">
        <v>564</v>
      </c>
    </row>
    <row r="489" spans="1:4" x14ac:dyDescent="0.2">
      <c r="A489" s="1" t="s">
        <v>519</v>
      </c>
      <c r="B489" s="1" t="s">
        <v>520</v>
      </c>
      <c r="C489" s="1" t="s">
        <v>564</v>
      </c>
      <c r="D489" s="1" t="s">
        <v>564</v>
      </c>
    </row>
    <row r="490" spans="1:4" x14ac:dyDescent="0.2">
      <c r="A490" s="1" t="s">
        <v>521</v>
      </c>
      <c r="B490" s="1" t="s">
        <v>522</v>
      </c>
      <c r="C490" s="1" t="s">
        <v>564</v>
      </c>
      <c r="D490" s="1" t="s">
        <v>564</v>
      </c>
    </row>
    <row r="491" spans="1:4" x14ac:dyDescent="0.2">
      <c r="A491" s="1" t="s">
        <v>523</v>
      </c>
      <c r="B491" s="1" t="s">
        <v>524</v>
      </c>
      <c r="C491" s="1" t="s">
        <v>564</v>
      </c>
      <c r="D491" s="1" t="s">
        <v>564</v>
      </c>
    </row>
    <row r="492" spans="1:4" x14ac:dyDescent="0.2">
      <c r="A492" s="1" t="s">
        <v>525</v>
      </c>
      <c r="B492" s="1" t="s">
        <v>524</v>
      </c>
      <c r="C492" s="1" t="s">
        <v>564</v>
      </c>
      <c r="D492" s="1" t="s">
        <v>564</v>
      </c>
    </row>
    <row r="493" spans="1:4" x14ac:dyDescent="0.2">
      <c r="A493" s="1" t="s">
        <v>526</v>
      </c>
      <c r="B493" s="1" t="s">
        <v>527</v>
      </c>
      <c r="C493" s="1" t="s">
        <v>564</v>
      </c>
      <c r="D493" s="1" t="s">
        <v>564</v>
      </c>
    </row>
    <row r="494" spans="1:4" x14ac:dyDescent="0.2">
      <c r="A494" s="1" t="s">
        <v>528</v>
      </c>
      <c r="B494" s="1" t="s">
        <v>527</v>
      </c>
      <c r="C494" s="1" t="s">
        <v>564</v>
      </c>
      <c r="D494" s="1" t="s">
        <v>564</v>
      </c>
    </row>
    <row r="495" spans="1:4" x14ac:dyDescent="0.2">
      <c r="A495" s="1" t="s">
        <v>529</v>
      </c>
      <c r="B495" s="1" t="s">
        <v>527</v>
      </c>
      <c r="C495" s="1" t="s">
        <v>564</v>
      </c>
      <c r="D495" s="1" t="s">
        <v>564</v>
      </c>
    </row>
    <row r="496" spans="1:4" x14ac:dyDescent="0.2">
      <c r="A496" s="1" t="s">
        <v>530</v>
      </c>
      <c r="B496" s="1" t="s">
        <v>527</v>
      </c>
      <c r="C496" s="1" t="s">
        <v>564</v>
      </c>
      <c r="D496" s="1" t="s">
        <v>564</v>
      </c>
    </row>
    <row r="497" spans="1:4" x14ac:dyDescent="0.2">
      <c r="A497" s="1" t="s">
        <v>531</v>
      </c>
      <c r="B497" s="1" t="s">
        <v>527</v>
      </c>
      <c r="C497" s="1" t="s">
        <v>564</v>
      </c>
      <c r="D497" s="1" t="s">
        <v>564</v>
      </c>
    </row>
    <row r="498" spans="1:4" x14ac:dyDescent="0.2">
      <c r="A498" s="1" t="s">
        <v>532</v>
      </c>
      <c r="B498" s="1" t="s">
        <v>527</v>
      </c>
      <c r="C498" s="1" t="s">
        <v>564</v>
      </c>
      <c r="D498" s="1" t="s">
        <v>564</v>
      </c>
    </row>
    <row r="499" spans="1:4" x14ac:dyDescent="0.2">
      <c r="A499" s="1" t="s">
        <v>533</v>
      </c>
      <c r="B499" s="1" t="s">
        <v>527</v>
      </c>
      <c r="C499" s="1" t="s">
        <v>564</v>
      </c>
      <c r="D499" s="1" t="s">
        <v>564</v>
      </c>
    </row>
    <row r="500" spans="1:4" x14ac:dyDescent="0.2">
      <c r="A500" s="1" t="s">
        <v>534</v>
      </c>
      <c r="B500" s="1" t="s">
        <v>527</v>
      </c>
      <c r="C500" s="1" t="s">
        <v>564</v>
      </c>
      <c r="D500" s="1" t="s">
        <v>564</v>
      </c>
    </row>
    <row r="501" spans="1:4" x14ac:dyDescent="0.2">
      <c r="A501" s="1" t="s">
        <v>535</v>
      </c>
      <c r="B501" s="1" t="s">
        <v>527</v>
      </c>
      <c r="C501" s="1" t="s">
        <v>564</v>
      </c>
      <c r="D501" s="1" t="s">
        <v>564</v>
      </c>
    </row>
    <row r="502" spans="1:4" x14ac:dyDescent="0.2">
      <c r="A502" s="1" t="s">
        <v>536</v>
      </c>
      <c r="B502" s="1" t="s">
        <v>537</v>
      </c>
      <c r="C502" s="1" t="s">
        <v>564</v>
      </c>
      <c r="D502" s="1" t="s">
        <v>564</v>
      </c>
    </row>
    <row r="503" spans="1:4" x14ac:dyDescent="0.2">
      <c r="A503" s="1" t="s">
        <v>538</v>
      </c>
      <c r="B503" s="1" t="s">
        <v>539</v>
      </c>
      <c r="C503" s="1" t="s">
        <v>564</v>
      </c>
      <c r="D503" s="1" t="s">
        <v>564</v>
      </c>
    </row>
    <row r="504" spans="1:4" x14ac:dyDescent="0.2">
      <c r="A504" s="1" t="s">
        <v>540</v>
      </c>
      <c r="B504" s="1" t="s">
        <v>539</v>
      </c>
      <c r="C504" s="1" t="s">
        <v>564</v>
      </c>
      <c r="D504" s="1" t="s">
        <v>564</v>
      </c>
    </row>
    <row r="505" spans="1:4" x14ac:dyDescent="0.2">
      <c r="A505" s="1" t="s">
        <v>541</v>
      </c>
      <c r="B505" s="1" t="s">
        <v>539</v>
      </c>
      <c r="C505" s="1" t="s">
        <v>564</v>
      </c>
      <c r="D505" s="1" t="s">
        <v>564</v>
      </c>
    </row>
    <row r="506" spans="1:4" x14ac:dyDescent="0.2">
      <c r="A506" s="1" t="s">
        <v>542</v>
      </c>
      <c r="B506" s="1" t="s">
        <v>543</v>
      </c>
      <c r="C506" s="1" t="s">
        <v>564</v>
      </c>
      <c r="D506" s="1" t="s">
        <v>564</v>
      </c>
    </row>
    <row r="507" spans="1:4" x14ac:dyDescent="0.2">
      <c r="A507" s="1" t="s">
        <v>544</v>
      </c>
      <c r="B507" s="1" t="s">
        <v>543</v>
      </c>
      <c r="C507" s="1" t="s">
        <v>564</v>
      </c>
      <c r="D507" s="1" t="s">
        <v>564</v>
      </c>
    </row>
    <row r="508" spans="1:4" x14ac:dyDescent="0.2">
      <c r="A508" s="1" t="s">
        <v>545</v>
      </c>
      <c r="B508" s="1" t="s">
        <v>543</v>
      </c>
      <c r="C508" s="1" t="s">
        <v>564</v>
      </c>
      <c r="D508" s="1" t="s">
        <v>564</v>
      </c>
    </row>
    <row r="509" spans="1:4" x14ac:dyDescent="0.2">
      <c r="A509" s="1" t="s">
        <v>546</v>
      </c>
      <c r="B509" s="1" t="s">
        <v>543</v>
      </c>
      <c r="C509" s="1" t="s">
        <v>564</v>
      </c>
      <c r="D509" s="1" t="s">
        <v>564</v>
      </c>
    </row>
    <row r="510" spans="1:4" x14ac:dyDescent="0.2">
      <c r="A510" s="1" t="s">
        <v>547</v>
      </c>
      <c r="B510" s="1" t="s">
        <v>543</v>
      </c>
      <c r="C510" s="1" t="s">
        <v>564</v>
      </c>
      <c r="D510" s="1" t="s">
        <v>564</v>
      </c>
    </row>
    <row r="511" spans="1:4" x14ac:dyDescent="0.2">
      <c r="A511" s="1" t="s">
        <v>548</v>
      </c>
      <c r="B511" s="1" t="s">
        <v>543</v>
      </c>
      <c r="C511" s="1" t="s">
        <v>564</v>
      </c>
      <c r="D511" s="1" t="s">
        <v>564</v>
      </c>
    </row>
    <row r="512" spans="1:4" x14ac:dyDescent="0.2">
      <c r="A512" s="1" t="s">
        <v>549</v>
      </c>
      <c r="B512" s="1" t="s">
        <v>543</v>
      </c>
      <c r="C512" s="1" t="s">
        <v>564</v>
      </c>
      <c r="D512" s="1" t="s">
        <v>564</v>
      </c>
    </row>
    <row r="513" spans="1:4" x14ac:dyDescent="0.2">
      <c r="A513" s="1" t="s">
        <v>550</v>
      </c>
      <c r="B513" s="1" t="s">
        <v>543</v>
      </c>
      <c r="C513" s="1" t="s">
        <v>564</v>
      </c>
      <c r="D513" s="1" t="s">
        <v>564</v>
      </c>
    </row>
    <row r="514" spans="1:4" x14ac:dyDescent="0.2">
      <c r="A514" s="1" t="s">
        <v>551</v>
      </c>
      <c r="B514" s="1" t="s">
        <v>543</v>
      </c>
      <c r="C514" s="1" t="s">
        <v>564</v>
      </c>
      <c r="D514" s="1" t="s">
        <v>564</v>
      </c>
    </row>
    <row r="515" spans="1:4" x14ac:dyDescent="0.2">
      <c r="A515" s="1" t="s">
        <v>552</v>
      </c>
      <c r="B515" s="1" t="s">
        <v>543</v>
      </c>
      <c r="C515" s="1" t="s">
        <v>564</v>
      </c>
      <c r="D515" s="1" t="s">
        <v>564</v>
      </c>
    </row>
    <row r="516" spans="1:4" x14ac:dyDescent="0.2">
      <c r="A516" s="1" t="s">
        <v>553</v>
      </c>
      <c r="B516" s="1" t="s">
        <v>554</v>
      </c>
      <c r="C516" s="1" t="s">
        <v>564</v>
      </c>
      <c r="D516" s="1" t="s">
        <v>564</v>
      </c>
    </row>
    <row r="517" spans="1:4" x14ac:dyDescent="0.2">
      <c r="A517" s="1" t="s">
        <v>555</v>
      </c>
      <c r="B517" s="1" t="s">
        <v>554</v>
      </c>
      <c r="C517" s="1" t="s">
        <v>564</v>
      </c>
      <c r="D517" s="1" t="s">
        <v>564</v>
      </c>
    </row>
    <row r="518" spans="1:4" x14ac:dyDescent="0.2">
      <c r="A518" s="1" t="s">
        <v>556</v>
      </c>
      <c r="B518" s="1" t="s">
        <v>554</v>
      </c>
      <c r="C518" s="1" t="s">
        <v>564</v>
      </c>
      <c r="D518" s="1" t="s">
        <v>564</v>
      </c>
    </row>
    <row r="519" spans="1:4" x14ac:dyDescent="0.2">
      <c r="A519" s="1" t="s">
        <v>557</v>
      </c>
      <c r="B519" s="1" t="s">
        <v>554</v>
      </c>
      <c r="C519" s="1" t="s">
        <v>564</v>
      </c>
      <c r="D519" s="1" t="s">
        <v>564</v>
      </c>
    </row>
    <row r="520" spans="1:4" x14ac:dyDescent="0.2">
      <c r="A520" s="1" t="s">
        <v>558</v>
      </c>
      <c r="B520" s="1" t="s">
        <v>559</v>
      </c>
      <c r="C520" s="1" t="s">
        <v>564</v>
      </c>
      <c r="D520" s="1" t="s">
        <v>564</v>
      </c>
    </row>
    <row r="521" spans="1:4" x14ac:dyDescent="0.2">
      <c r="A521" s="1" t="s">
        <v>560</v>
      </c>
      <c r="B521" s="1" t="s">
        <v>559</v>
      </c>
      <c r="C521" s="1" t="s">
        <v>564</v>
      </c>
      <c r="D521" s="1" t="s">
        <v>564</v>
      </c>
    </row>
  </sheetData>
  <dataValidations count="1">
    <dataValidation type="list" allowBlank="1" showErrorMessage="1" sqref="C2:D521" xr:uid="{E037A184-6CC0-4D9C-A045-5A3929875FA7}">
      <formula1>"N/A,No,Yes"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Price Tables</vt:lpstr>
      <vt:lpstr>Item Rules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Stephen Weiblinger</cp:lastModifiedBy>
  <dcterms:modified xsi:type="dcterms:W3CDTF">2025-12-11T04:59:18Z</dcterms:modified>
</cp:coreProperties>
</file>